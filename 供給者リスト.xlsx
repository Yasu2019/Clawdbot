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5.6\業務\製造3部\管理課\生産管理\早坂\IATF\二次審査対応資料20240418\購買P\"/>
    </mc:Choice>
  </mc:AlternateContent>
  <xr:revisionPtr revIDLastSave="0" documentId="13_ncr:1_{94B5A0B7-6C73-407B-9B63-9B5EEF16C8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2024" sheetId="2" r:id="rId2"/>
  </sheets>
  <definedNames>
    <definedName name="_xlnm._FilterDatabase" localSheetId="0" hidden="1">Sheet1!$A$5:$WWY$66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9" i="1" l="1"/>
  <c r="P14" i="1"/>
  <c r="P68" i="1"/>
  <c r="P67" i="1" l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6" i="1"/>
  <c r="P25" i="1"/>
  <c r="P24" i="1"/>
  <c r="P23" i="1"/>
  <c r="P22" i="1"/>
  <c r="P20" i="1"/>
  <c r="P19" i="1"/>
  <c r="P16" i="1"/>
  <c r="P7" i="1"/>
  <c r="P8" i="1"/>
  <c r="P21" i="1"/>
  <c r="P18" i="1"/>
  <c r="P17" i="1"/>
  <c r="P15" i="1"/>
  <c r="P12" i="1"/>
  <c r="P11" i="1"/>
  <c r="P10" i="1"/>
  <c r="P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mec21</author>
    <author>admin</author>
  </authors>
  <commentList>
    <comment ref="M7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〇の意味は、
QMSが必要な供給先</t>
        </r>
      </text>
    </comment>
    <comment ref="N7" authorId="1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>△は書類監査</t>
        </r>
      </text>
    </comment>
    <comment ref="M8" authorId="0" shapeId="0" xr:uid="{00000000-0006-0000-0000-000003000000}">
      <text>
        <r>
          <rPr>
            <b/>
            <sz val="9"/>
            <color indexed="81"/>
            <rFont val="MS P ゴシック"/>
            <family val="3"/>
            <charset val="128"/>
          </rPr>
          <t>〇の意味は、
QMSが必要な供給先</t>
        </r>
      </text>
    </comment>
    <comment ref="N8" authorId="1" shapeId="0" xr:uid="{00000000-0006-0000-0000-000004000000}">
      <text>
        <r>
          <rPr>
            <b/>
            <sz val="9"/>
            <color indexed="81"/>
            <rFont val="MS P ゴシック"/>
            <family val="3"/>
            <charset val="128"/>
          </rPr>
          <t>△は書類監査</t>
        </r>
      </text>
    </comment>
    <comment ref="N10" authorId="1" shapeId="0" xr:uid="{00000000-0006-0000-0000-000005000000}">
      <text>
        <r>
          <rPr>
            <b/>
            <sz val="9"/>
            <color indexed="81"/>
            <rFont val="MS P ゴシック"/>
            <family val="3"/>
            <charset val="128"/>
          </rPr>
          <t>内部監査員用のスキルマップで上司が評価する
評価の結果、合格したら、２者監査に行く。</t>
        </r>
      </text>
    </comment>
    <comment ref="N20" authorId="1" shapeId="0" xr:uid="{00000000-0006-0000-0000-000006000000}">
      <text>
        <r>
          <rPr>
            <b/>
            <sz val="9"/>
            <color indexed="81"/>
            <rFont val="MS P ゴシック"/>
            <family val="3"/>
            <charset val="128"/>
          </rPr>
          <t>製品加工していないため、×とした</t>
        </r>
      </text>
    </comment>
  </commentList>
</comments>
</file>

<file path=xl/sharedStrings.xml><?xml version="1.0" encoding="utf-8"?>
<sst xmlns="http://schemas.openxmlformats.org/spreadsheetml/2006/main" count="1819" uniqueCount="796">
  <si>
    <t>文書番号：GM009</t>
    <phoneticPr fontId="2"/>
  </si>
  <si>
    <t>供給者管理リスト(車載関係用）</t>
    <rPh sb="0" eb="3">
      <t>キョウキュウシャ</t>
    </rPh>
    <rPh sb="3" eb="5">
      <t>カンリ</t>
    </rPh>
    <rPh sb="9" eb="11">
      <t>シャサイ</t>
    </rPh>
    <rPh sb="11" eb="13">
      <t>カンケイ</t>
    </rPh>
    <rPh sb="13" eb="14">
      <t>ヨウ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</si>
  <si>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</si>
  <si>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</si>
  <si>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作成日</t>
    <rPh sb="0" eb="3">
      <t>サクセイビ</t>
    </rPh>
    <phoneticPr fontId="2"/>
  </si>
  <si>
    <t>ID</t>
  </si>
  <si>
    <t>メーカー名</t>
    <rPh sb="4" eb="5">
      <t>メイ</t>
    </rPh>
    <phoneticPr fontId="2"/>
  </si>
  <si>
    <t>新規</t>
    <rPh sb="0" eb="2">
      <t>シンキ</t>
    </rPh>
    <phoneticPr fontId="5"/>
  </si>
  <si>
    <t>継続</t>
    <rPh sb="0" eb="2">
      <t>ケイゾク</t>
    </rPh>
    <phoneticPr fontId="5"/>
  </si>
  <si>
    <t>管理ランク</t>
    <rPh sb="0" eb="2">
      <t>カンリ</t>
    </rPh>
    <phoneticPr fontId="5"/>
  </si>
  <si>
    <t>ISO有無</t>
    <rPh sb="3" eb="5">
      <t>ウム</t>
    </rPh>
    <phoneticPr fontId="2"/>
  </si>
  <si>
    <t>有効期限</t>
    <rPh sb="0" eb="4">
      <t>ユウコウキゲン</t>
    </rPh>
    <phoneticPr fontId="5"/>
  </si>
  <si>
    <t>認証機関</t>
    <rPh sb="0" eb="4">
      <t>ニンショウキカン</t>
    </rPh>
    <phoneticPr fontId="5"/>
  </si>
  <si>
    <t>評価対象</t>
    <rPh sb="0" eb="2">
      <t>ヒョウカ</t>
    </rPh>
    <rPh sb="2" eb="4">
      <t>タイショウ</t>
    </rPh>
    <phoneticPr fontId="5"/>
  </si>
  <si>
    <t>QMS開発</t>
    <rPh sb="3" eb="5">
      <t>カイハツ</t>
    </rPh>
    <phoneticPr fontId="5"/>
  </si>
  <si>
    <t>第２者監査</t>
    <rPh sb="0" eb="1">
      <t>ダイ</t>
    </rPh>
    <rPh sb="2" eb="3">
      <t>シャ</t>
    </rPh>
    <rPh sb="3" eb="5">
      <t>カンサ</t>
    </rPh>
    <phoneticPr fontId="5"/>
  </si>
  <si>
    <t>供給者開発</t>
    <rPh sb="0" eb="3">
      <t>キョウキュウシャ</t>
    </rPh>
    <rPh sb="3" eb="5">
      <t>カイハツ</t>
    </rPh>
    <phoneticPr fontId="5"/>
  </si>
  <si>
    <t>ISO取得状況</t>
    <rPh sb="3" eb="5">
      <t>シュトク</t>
    </rPh>
    <rPh sb="5" eb="7">
      <t>ジョウキョウ</t>
    </rPh>
    <phoneticPr fontId="5"/>
  </si>
  <si>
    <t>車載関係</t>
    <rPh sb="0" eb="4">
      <t>シャサイカンケイ</t>
    </rPh>
    <phoneticPr fontId="5"/>
  </si>
  <si>
    <t>関係部署</t>
    <rPh sb="0" eb="4">
      <t>カンケイブショ</t>
    </rPh>
    <phoneticPr fontId="5"/>
  </si>
  <si>
    <t>取引内容</t>
    <rPh sb="0" eb="4">
      <t>トリヒキナイヨウ</t>
    </rPh>
    <phoneticPr fontId="5"/>
  </si>
  <si>
    <t>住所①</t>
    <rPh sb="0" eb="2">
      <t>ジュウショ</t>
    </rPh>
    <phoneticPr fontId="2"/>
  </si>
  <si>
    <t>住所②</t>
    <rPh sb="0" eb="2">
      <t>ジュウショ</t>
    </rPh>
    <phoneticPr fontId="2"/>
  </si>
  <si>
    <t>郵便番号</t>
    <rPh sb="0" eb="4">
      <t>ユウビンバンゴウ</t>
    </rPh>
    <phoneticPr fontId="2"/>
  </si>
  <si>
    <t>TEL</t>
  </si>
  <si>
    <t>FAX</t>
  </si>
  <si>
    <t>EMail</t>
  </si>
  <si>
    <t>HsuSyori</t>
  </si>
  <si>
    <t>Yomi</t>
  </si>
  <si>
    <t>KANAGATA</t>
  </si>
  <si>
    <t>BankCod</t>
  </si>
  <si>
    <t>BankName</t>
  </si>
  <si>
    <t>BankSCod</t>
  </si>
  <si>
    <t>BankSName</t>
  </si>
  <si>
    <t>TesuInt</t>
  </si>
  <si>
    <t>BNumber</t>
  </si>
  <si>
    <t>KOUZA</t>
  </si>
  <si>
    <t>MyCurrency</t>
  </si>
  <si>
    <t>SView</t>
  </si>
  <si>
    <t>SHIHARAI</t>
  </si>
  <si>
    <t>SYANAIKAN</t>
  </si>
  <si>
    <t>△：ドキュメント監査</t>
    <rPh sb="8" eb="10">
      <t>カンサ</t>
    </rPh>
    <phoneticPr fontId="5"/>
  </si>
  <si>
    <t>△の仕入れ先に対して、書類を送る。</t>
    <rPh sb="2" eb="4">
      <t>シイ</t>
    </rPh>
    <rPh sb="5" eb="6">
      <t>サキ</t>
    </rPh>
    <rPh sb="7" eb="8">
      <t>タイ</t>
    </rPh>
    <rPh sb="11" eb="13">
      <t>ショルイ</t>
    </rPh>
    <rPh sb="14" eb="15">
      <t>オク</t>
    </rPh>
    <phoneticPr fontId="2"/>
  </si>
  <si>
    <t>（株）ミヤタ</t>
  </si>
  <si>
    <t>MAアルミニウム㈱</t>
    <phoneticPr fontId="5"/>
  </si>
  <si>
    <t>ISO9001取得有り</t>
    <rPh sb="7" eb="9">
      <t>シュトク</t>
    </rPh>
    <rPh sb="9" eb="10">
      <t>ア</t>
    </rPh>
    <phoneticPr fontId="5"/>
  </si>
  <si>
    <t>JSA</t>
    <phoneticPr fontId="5"/>
  </si>
  <si>
    <t>〇</t>
  </si>
  <si>
    <t>△</t>
  </si>
  <si>
    <t>-</t>
  </si>
  <si>
    <t>加工課</t>
  </si>
  <si>
    <t>材料</t>
    <rPh sb="0" eb="2">
      <t>ザイリョウ</t>
    </rPh>
    <phoneticPr fontId="5"/>
  </si>
  <si>
    <t>大田区中央３丁目２１－１１</t>
  </si>
  <si>
    <t>143-0024</t>
  </si>
  <si>
    <t>033-773-7711</t>
  </si>
  <si>
    <t>033-773-7710</t>
  </si>
  <si>
    <t>ミヤタ</t>
  </si>
  <si>
    <t>横浜</t>
  </si>
  <si>
    <t>蒲田</t>
  </si>
  <si>
    <t>0300040</t>
  </si>
  <si>
    <t>2</t>
  </si>
  <si>
    <t>㈱プロテリアル金属</t>
    <rPh sb="7" eb="9">
      <t>キンゾク</t>
    </rPh>
    <phoneticPr fontId="5"/>
  </si>
  <si>
    <t>LRQAリミテッド</t>
    <phoneticPr fontId="5"/>
  </si>
  <si>
    <t>大阪府吹田氏2-19-1</t>
    <rPh sb="0" eb="3">
      <t>オオサカフ</t>
    </rPh>
    <rPh sb="3" eb="6">
      <t>フキタシ</t>
    </rPh>
    <phoneticPr fontId="5"/>
  </si>
  <si>
    <t>古川電工㈱</t>
    <rPh sb="0" eb="4">
      <t>フルカワデンコウ</t>
    </rPh>
    <phoneticPr fontId="5"/>
  </si>
  <si>
    <t>2026/1218</t>
    <phoneticPr fontId="5"/>
  </si>
  <si>
    <t>JQA</t>
    <phoneticPr fontId="5"/>
  </si>
  <si>
    <t>片木アルミ</t>
    <rPh sb="0" eb="2">
      <t>カタギ</t>
    </rPh>
    <phoneticPr fontId="5"/>
  </si>
  <si>
    <t>ISO9001取得無し</t>
  </si>
  <si>
    <t>阪和興業（株）</t>
    <phoneticPr fontId="5"/>
  </si>
  <si>
    <t>ＣＳＡＣ(台湾メーカー)</t>
    <rPh sb="5" eb="7">
      <t>タイワン</t>
    </rPh>
    <phoneticPr fontId="5"/>
  </si>
  <si>
    <t>SGS</t>
    <phoneticPr fontId="5"/>
  </si>
  <si>
    <t>03-3544-2329</t>
  </si>
  <si>
    <t>03-3544-2148</t>
  </si>
  <si>
    <t>ﾊﾝﾜｺｳｷﾞｮｳ</t>
  </si>
  <si>
    <t>三井住友</t>
  </si>
  <si>
    <t>東京中央</t>
  </si>
  <si>
    <t>267225</t>
  </si>
  <si>
    <t>製品めっき(材料先メッキ）</t>
    <rPh sb="0" eb="2">
      <t>セイヒン</t>
    </rPh>
    <rPh sb="6" eb="9">
      <t>ザイリョウサキ</t>
    </rPh>
    <phoneticPr fontId="5"/>
  </si>
  <si>
    <t>ASR</t>
    <phoneticPr fontId="5"/>
  </si>
  <si>
    <t>東栄電化工業㈱</t>
    <phoneticPr fontId="5"/>
  </si>
  <si>
    <t>アルマイト外注</t>
    <rPh sb="5" eb="7">
      <t>ガイチュウ</t>
    </rPh>
    <phoneticPr fontId="5"/>
  </si>
  <si>
    <r>
      <t>J</t>
    </r>
    <r>
      <rPr>
        <sz val="11"/>
        <color theme="1"/>
        <rFont val="游ゴシック"/>
        <family val="2"/>
        <charset val="128"/>
        <scheme val="minor"/>
      </rPr>
      <t>IC</t>
    </r>
    <phoneticPr fontId="5"/>
  </si>
  <si>
    <t>アルマイト</t>
    <phoneticPr fontId="5"/>
  </si>
  <si>
    <t>相模原市中央区小町通2-5-9</t>
    <phoneticPr fontId="5"/>
  </si>
  <si>
    <t>042-771-1528</t>
  </si>
  <si>
    <t>042-773-4032</t>
  </si>
  <si>
    <t>東京材料㈱</t>
    <rPh sb="0" eb="4">
      <t>トウキョウザイリョウ</t>
    </rPh>
    <phoneticPr fontId="5"/>
  </si>
  <si>
    <t>石塚化学</t>
    <rPh sb="0" eb="2">
      <t>イシヅカ</t>
    </rPh>
    <rPh sb="2" eb="4">
      <t>カガク</t>
    </rPh>
    <phoneticPr fontId="5"/>
  </si>
  <si>
    <t>試作品のめっき</t>
    <rPh sb="0" eb="2">
      <t>シサク</t>
    </rPh>
    <rPh sb="2" eb="3">
      <t>ヒン</t>
    </rPh>
    <phoneticPr fontId="5"/>
  </si>
  <si>
    <t>JQA</t>
    <phoneticPr fontId="5"/>
  </si>
  <si>
    <t>〇</t>
    <phoneticPr fontId="2"/>
  </si>
  <si>
    <t>×</t>
  </si>
  <si>
    <t>ISO9001</t>
  </si>
  <si>
    <t>メッキ</t>
  </si>
  <si>
    <t>0561-54-1234</t>
  </si>
  <si>
    <t>0561-54-9101</t>
  </si>
  <si>
    <t>ﾆﾎﾝｹﾐｶﾙ</t>
  </si>
  <si>
    <t>1</t>
  </si>
  <si>
    <t>（株）三松（表面処理薬品商社）</t>
    <phoneticPr fontId="5"/>
  </si>
  <si>
    <t>ユケン工業㈱</t>
    <rPh sb="3" eb="5">
      <t>コウギョウ</t>
    </rPh>
    <phoneticPr fontId="5"/>
  </si>
  <si>
    <t>JCQA</t>
    <phoneticPr fontId="5"/>
  </si>
  <si>
    <t>薬品</t>
    <rPh sb="0" eb="2">
      <t>ヤクヒン</t>
    </rPh>
    <phoneticPr fontId="5"/>
  </si>
  <si>
    <t>東京都大田区西蒲田7-57-11</t>
    <phoneticPr fontId="5"/>
  </si>
  <si>
    <t>144-0051</t>
  </si>
  <si>
    <t>033-733-7131</t>
    <phoneticPr fontId="5"/>
  </si>
  <si>
    <t>033-739-0321</t>
    <phoneticPr fontId="5"/>
  </si>
  <si>
    <t>ｻﾝﾏﾂ</t>
  </si>
  <si>
    <t>三菱東京UFJ銀行</t>
  </si>
  <si>
    <t>カマタエキマエ</t>
  </si>
  <si>
    <t>0001125</t>
  </si>
  <si>
    <t>クリンビー</t>
    <phoneticPr fontId="5"/>
  </si>
  <si>
    <t>日産化学（硝酸）　</t>
    <rPh sb="5" eb="7">
      <t>ショウサン</t>
    </rPh>
    <phoneticPr fontId="5"/>
  </si>
  <si>
    <t>×</t>
    <phoneticPr fontId="2"/>
  </si>
  <si>
    <t>厚木市中依知348-1</t>
  </si>
  <si>
    <t>243-0805</t>
  </si>
  <si>
    <t>046-210-3999</t>
  </si>
  <si>
    <t>046-245-4125</t>
  </si>
  <si>
    <t>ｼﾝﾆﾎﾝｶｾｲ</t>
  </si>
  <si>
    <t>千葉銀行</t>
  </si>
  <si>
    <t>京成駅前</t>
  </si>
  <si>
    <t>1243506</t>
  </si>
  <si>
    <t>金型パーツ</t>
    <rPh sb="0" eb="2">
      <t>カナガタ</t>
    </rPh>
    <phoneticPr fontId="5"/>
  </si>
  <si>
    <t>ISO14001</t>
  </si>
  <si>
    <t>工場全般</t>
    <rPh sb="0" eb="4">
      <t>コウジョウゼンパン</t>
    </rPh>
    <phoneticPr fontId="5"/>
  </si>
  <si>
    <t>消耗品・自動機部品・金型部品</t>
    <rPh sb="0" eb="3">
      <t>ショウモウヒン</t>
    </rPh>
    <rPh sb="4" eb="7">
      <t>ジドウキ</t>
    </rPh>
    <rPh sb="7" eb="9">
      <t>ブヒン</t>
    </rPh>
    <rPh sb="10" eb="12">
      <t>カナガタ</t>
    </rPh>
    <rPh sb="12" eb="14">
      <t>ブヒン</t>
    </rPh>
    <phoneticPr fontId="5"/>
  </si>
  <si>
    <t>横浜市神奈川区鶴屋町3-31-5</t>
  </si>
  <si>
    <t>久保田ビル4F</t>
  </si>
  <si>
    <t>221-0831</t>
  </si>
  <si>
    <t>045-324-1141</t>
  </si>
  <si>
    <t>045-324-0252</t>
  </si>
  <si>
    <t>ミスミ</t>
  </si>
  <si>
    <t>みずほ銀行</t>
  </si>
  <si>
    <t>ダイニシユウチュウ</t>
  </si>
  <si>
    <t>1073861</t>
  </si>
  <si>
    <t>システム管理</t>
    <rPh sb="4" eb="6">
      <t>カンリ</t>
    </rPh>
    <phoneticPr fontId="5"/>
  </si>
  <si>
    <t>内職</t>
    <rPh sb="0" eb="2">
      <t>ナイショク</t>
    </rPh>
    <phoneticPr fontId="5"/>
  </si>
  <si>
    <t>平塚市大島1294-1</t>
  </si>
  <si>
    <t>254-0001</t>
  </si>
  <si>
    <t>0463-51-1010</t>
  </si>
  <si>
    <t>0463-54-5827</t>
  </si>
  <si>
    <t>シンニホン</t>
  </si>
  <si>
    <t>静岡中央銀行</t>
  </si>
  <si>
    <t>平塚</t>
  </si>
  <si>
    <t>1982131</t>
  </si>
  <si>
    <t>金型のプレートの購入</t>
    <rPh sb="0" eb="2">
      <t>カナガタ</t>
    </rPh>
    <rPh sb="8" eb="10">
      <t>コウニュウ</t>
    </rPh>
    <phoneticPr fontId="5"/>
  </si>
  <si>
    <t>なし</t>
  </si>
  <si>
    <t>技術部</t>
  </si>
  <si>
    <t>プレート</t>
  </si>
  <si>
    <t>綾瀬市吉岡278</t>
  </si>
  <si>
    <t>0467-78-0721</t>
  </si>
  <si>
    <t>0467-76-2747</t>
  </si>
  <si>
    <t>ﾄｳｶｲｺｳﾃﾂ</t>
  </si>
  <si>
    <t>三菱東京UFJ</t>
  </si>
  <si>
    <t>ヤマト</t>
  </si>
  <si>
    <t>0170269</t>
  </si>
  <si>
    <t>製品保護のためのジャバラ紙</t>
    <rPh sb="0" eb="2">
      <t>セイヒン</t>
    </rPh>
    <rPh sb="2" eb="4">
      <t>ホゴ</t>
    </rPh>
    <rPh sb="12" eb="13">
      <t>カミ</t>
    </rPh>
    <phoneticPr fontId="5"/>
  </si>
  <si>
    <t>ISO9001/ISO14001</t>
  </si>
  <si>
    <t>パーチメント紙 ・コーナーアングル</t>
  </si>
  <si>
    <t>茅ヶ崎市中島1158-6</t>
  </si>
  <si>
    <t>253-0073</t>
  </si>
  <si>
    <t>0467-58-2600</t>
  </si>
  <si>
    <t>0467-58-2607</t>
  </si>
  <si>
    <t>ﾌｼﾞｻﾜｼｺｳ</t>
  </si>
  <si>
    <t>三菱東京ＵＦＪ</t>
  </si>
  <si>
    <t>藤沢</t>
  </si>
  <si>
    <t>9005803</t>
  </si>
  <si>
    <t>金型のパンチ等購入</t>
    <rPh sb="0" eb="2">
      <t>カナガタ</t>
    </rPh>
    <rPh sb="6" eb="7">
      <t>ナド</t>
    </rPh>
    <rPh sb="7" eb="9">
      <t>コウニュウ</t>
    </rPh>
    <phoneticPr fontId="5"/>
  </si>
  <si>
    <t>ISO9001,ISO14001</t>
  </si>
  <si>
    <t>本）品川区南大井6-22-7大森ベルポートＥ-5Ｆ</t>
  </si>
  <si>
    <t>（045）904-8007</t>
  </si>
  <si>
    <t>045-904-8011</t>
  </si>
  <si>
    <t>ﾊﾟﾝﾁｺｳｷﾞｮｳ</t>
  </si>
  <si>
    <t>りそな</t>
  </si>
  <si>
    <t>品川</t>
  </si>
  <si>
    <t>6002835</t>
  </si>
  <si>
    <t>工作機械・工具など</t>
    <rPh sb="0" eb="2">
      <t>コウサク</t>
    </rPh>
    <rPh sb="2" eb="4">
      <t>キカイ</t>
    </rPh>
    <rPh sb="5" eb="7">
      <t>コウグ</t>
    </rPh>
    <phoneticPr fontId="5"/>
  </si>
  <si>
    <t>消耗品工具</t>
    <rPh sb="0" eb="3">
      <t>ショウモウヒン</t>
    </rPh>
    <rPh sb="3" eb="5">
      <t>コウグ</t>
    </rPh>
    <phoneticPr fontId="5"/>
  </si>
  <si>
    <t>相模原市中央区高根1-14-7</t>
  </si>
  <si>
    <t>252-0221</t>
  </si>
  <si>
    <t>042-759-4001</t>
  </si>
  <si>
    <t>042-759-4003</t>
  </si>
  <si>
    <t>ﾊｼﾓﾄｺｳｼｮｳ</t>
  </si>
  <si>
    <t>ミズホ</t>
  </si>
  <si>
    <t>相模原</t>
  </si>
  <si>
    <t>1334087</t>
  </si>
  <si>
    <t>梱包製品トレイ</t>
    <rPh sb="0" eb="2">
      <t>コンポウ</t>
    </rPh>
    <rPh sb="2" eb="4">
      <t>セイヒン</t>
    </rPh>
    <phoneticPr fontId="5"/>
  </si>
  <si>
    <t>トレイ</t>
  </si>
  <si>
    <t>横浜市港北区樽町3-1-1</t>
  </si>
  <si>
    <t>222-0001</t>
  </si>
  <si>
    <t>045-543-0141</t>
  </si>
  <si>
    <t>045-562-9882</t>
  </si>
  <si>
    <t>ﾄｳｷｮｳﾌﾟﾛﾄ</t>
  </si>
  <si>
    <t>大倉山</t>
  </si>
  <si>
    <t>5159</t>
  </si>
  <si>
    <t>運送</t>
    <rPh sb="0" eb="2">
      <t>ウンソウ</t>
    </rPh>
    <phoneticPr fontId="5"/>
  </si>
  <si>
    <t>輸送</t>
    <rPh sb="0" eb="2">
      <t>ユソウ</t>
    </rPh>
    <phoneticPr fontId="5"/>
  </si>
  <si>
    <t>茨城県土浦市荒川沖東2-10-34</t>
  </si>
  <si>
    <t>300-1171</t>
  </si>
  <si>
    <t>0298-41-2138</t>
  </si>
  <si>
    <t>0298-41-1966</t>
  </si>
  <si>
    <t>ニッコウ</t>
  </si>
  <si>
    <t>つくば</t>
  </si>
  <si>
    <t>0212504</t>
  </si>
  <si>
    <t>超音波振動子ユニット</t>
    <rPh sb="0" eb="3">
      <t>チョウオンパ</t>
    </rPh>
    <rPh sb="3" eb="6">
      <t>シンドウシ</t>
    </rPh>
    <phoneticPr fontId="5"/>
  </si>
  <si>
    <t>超音波</t>
    <rPh sb="0" eb="3">
      <t>チョウオンパ</t>
    </rPh>
    <phoneticPr fontId="5"/>
  </si>
  <si>
    <t>ﾆﾎﾝ</t>
  </si>
  <si>
    <t>普通</t>
  </si>
  <si>
    <t>製品梱包段ボール</t>
    <rPh sb="0" eb="2">
      <t>セイヒン</t>
    </rPh>
    <rPh sb="2" eb="4">
      <t>コンポウ</t>
    </rPh>
    <rPh sb="4" eb="5">
      <t>ダン</t>
    </rPh>
    <phoneticPr fontId="5"/>
  </si>
  <si>
    <t>段ボール</t>
    <rPh sb="0" eb="1">
      <t>ダン</t>
    </rPh>
    <phoneticPr fontId="5"/>
  </si>
  <si>
    <t>神奈川県厚木市温水1961</t>
  </si>
  <si>
    <t>243-0033</t>
  </si>
  <si>
    <t>046-248-8511</t>
  </si>
  <si>
    <t>046-247-3357</t>
  </si>
  <si>
    <t>ﾀｲﾖｰ</t>
  </si>
  <si>
    <t>厚木</t>
  </si>
  <si>
    <t>1022846</t>
  </si>
  <si>
    <t>測定器</t>
    <rPh sb="0" eb="3">
      <t>ソクテイキ</t>
    </rPh>
    <phoneticPr fontId="5"/>
  </si>
  <si>
    <t>×</t>
    <phoneticPr fontId="2"/>
  </si>
  <si>
    <t>生産技術</t>
    <rPh sb="0" eb="4">
      <t>セイサンギジュツ</t>
    </rPh>
    <phoneticPr fontId="5"/>
  </si>
  <si>
    <t>自動機部品</t>
    <rPh sb="0" eb="3">
      <t>ジドウキ</t>
    </rPh>
    <rPh sb="3" eb="5">
      <t>ブヒン</t>
    </rPh>
    <phoneticPr fontId="5"/>
  </si>
  <si>
    <t>海老名市中央2-9-50</t>
  </si>
  <si>
    <t>海老名プライムタワー13Ｆ</t>
  </si>
  <si>
    <t>243-0432</t>
  </si>
  <si>
    <t>046-236-0755</t>
  </si>
  <si>
    <t>046-236-0766</t>
  </si>
  <si>
    <t>ｷｰｴﾝｽ</t>
  </si>
  <si>
    <t>ウメダ</t>
  </si>
  <si>
    <t>0222375</t>
  </si>
  <si>
    <t>作業着、帽子、安全靴の商社</t>
    <rPh sb="0" eb="3">
      <t>サギョウギ</t>
    </rPh>
    <rPh sb="4" eb="6">
      <t>ボウシ</t>
    </rPh>
    <rPh sb="7" eb="9">
      <t>アンゼン</t>
    </rPh>
    <rPh sb="9" eb="10">
      <t>クツ</t>
    </rPh>
    <rPh sb="11" eb="13">
      <t>ショウシャ</t>
    </rPh>
    <phoneticPr fontId="5"/>
  </si>
  <si>
    <t>作業</t>
    <rPh sb="0" eb="2">
      <t>サギョウ</t>
    </rPh>
    <phoneticPr fontId="5"/>
  </si>
  <si>
    <t>厚木市水引2-11-2</t>
  </si>
  <si>
    <t>243-0004</t>
  </si>
  <si>
    <t>046-223-1771</t>
  </si>
  <si>
    <t>046-223-6377</t>
  </si>
  <si>
    <t>ﾐﾄﾞﾘｱﾝｾﾞﾝ</t>
  </si>
  <si>
    <t>ヨコハマ</t>
  </si>
  <si>
    <t>カモメ</t>
  </si>
  <si>
    <t>0501194</t>
  </si>
  <si>
    <t>リヒト精光（株）</t>
    <phoneticPr fontId="5"/>
  </si>
  <si>
    <t>金型パーツの焼き入れ業者</t>
    <rPh sb="0" eb="2">
      <t>カナガタ</t>
    </rPh>
    <rPh sb="6" eb="7">
      <t>ヤ</t>
    </rPh>
    <rPh sb="8" eb="9">
      <t>イ</t>
    </rPh>
    <rPh sb="10" eb="12">
      <t>ギョウシャ</t>
    </rPh>
    <phoneticPr fontId="5"/>
  </si>
  <si>
    <t>熱処理</t>
    <rPh sb="0" eb="3">
      <t>ネツショリ</t>
    </rPh>
    <phoneticPr fontId="5"/>
  </si>
  <si>
    <t>厚木市下依知1-12-23</t>
    <phoneticPr fontId="5"/>
  </si>
  <si>
    <t>243-0806</t>
  </si>
  <si>
    <t>046-245-1611</t>
    <phoneticPr fontId="5"/>
  </si>
  <si>
    <t>046-245-1610</t>
    <phoneticPr fontId="5"/>
  </si>
  <si>
    <t>リヒト</t>
  </si>
  <si>
    <t>0812193</t>
  </si>
  <si>
    <t>表面処理ライン保守などのパーツ</t>
    <rPh sb="0" eb="4">
      <t>ヒョウメンショリ</t>
    </rPh>
    <rPh sb="7" eb="9">
      <t>ホシュ</t>
    </rPh>
    <phoneticPr fontId="5"/>
  </si>
  <si>
    <t>塩ビ板　</t>
  </si>
  <si>
    <t>埼玉県川口市上青木</t>
  </si>
  <si>
    <t>2丁目22番6号</t>
  </si>
  <si>
    <t>333</t>
  </si>
  <si>
    <t>048-269-2726</t>
  </si>
  <si>
    <t>048-267-7382</t>
  </si>
  <si>
    <t>ｼﾝｷｮｳﾘﾂｶｺｳ</t>
  </si>
  <si>
    <t>西川口</t>
  </si>
  <si>
    <t>9012495</t>
  </si>
  <si>
    <t>部品など</t>
    <rPh sb="0" eb="2">
      <t>ブヒン</t>
    </rPh>
    <phoneticPr fontId="5"/>
  </si>
  <si>
    <t>〇</t>
    <phoneticPr fontId="2"/>
  </si>
  <si>
    <t>消耗品</t>
    <rPh sb="0" eb="3">
      <t>ショウモウヒン</t>
    </rPh>
    <phoneticPr fontId="5"/>
  </si>
  <si>
    <t>兵庫県尼崎市竹谷町2-183</t>
    <phoneticPr fontId="5"/>
  </si>
  <si>
    <t>リベル3階</t>
  </si>
  <si>
    <t>660-0876</t>
  </si>
  <si>
    <t>0120-443-509</t>
    <phoneticPr fontId="5"/>
  </si>
  <si>
    <t>0120-289-888</t>
    <phoneticPr fontId="5"/>
  </si>
  <si>
    <t>ﾓﾉ</t>
  </si>
  <si>
    <t>ドットコム</t>
  </si>
  <si>
    <t>9070269</t>
  </si>
  <si>
    <t>東京都墨田区堤通一丁目19番9号</t>
  </si>
  <si>
    <t>リバーサイド隅田セントラルタワー16階</t>
  </si>
  <si>
    <t>131-0034</t>
  </si>
  <si>
    <t>03-3616-1730</t>
  </si>
  <si>
    <t>03-3616-1731</t>
  </si>
  <si>
    <t>フタバ</t>
  </si>
  <si>
    <t>チバ</t>
  </si>
  <si>
    <t>モバラ</t>
  </si>
  <si>
    <t>2189623</t>
  </si>
  <si>
    <t>フォークリスト、海外出荷用パレット</t>
    <rPh sb="8" eb="10">
      <t>カイガイ</t>
    </rPh>
    <rPh sb="10" eb="12">
      <t>シュッカ</t>
    </rPh>
    <rPh sb="12" eb="13">
      <t>ヨウ</t>
    </rPh>
    <phoneticPr fontId="5"/>
  </si>
  <si>
    <t>フォークリフト・パレット</t>
  </si>
  <si>
    <t>厚木市金田６８８－１</t>
  </si>
  <si>
    <t>243-0807</t>
  </si>
  <si>
    <t>046-224-1231</t>
  </si>
  <si>
    <t>046-224-1237</t>
  </si>
  <si>
    <t>ﾄﾖﾀ</t>
  </si>
  <si>
    <t>トウキョウカワセシュウチュウ</t>
  </si>
  <si>
    <t>4479700</t>
  </si>
  <si>
    <t>ワイヤー電極線</t>
    <rPh sb="4" eb="6">
      <t>デンキョク</t>
    </rPh>
    <rPh sb="6" eb="7">
      <t>セン</t>
    </rPh>
    <phoneticPr fontId="5"/>
  </si>
  <si>
    <t>大和市福田6-9-21</t>
  </si>
  <si>
    <t>242-0024</t>
  </si>
  <si>
    <t>046-268-3131</t>
  </si>
  <si>
    <t>046-268-2284</t>
  </si>
  <si>
    <t>ｲｰｽﾀﾝ</t>
  </si>
  <si>
    <t>サガミオオノ</t>
  </si>
  <si>
    <t>0015765</t>
  </si>
  <si>
    <t>商社　色々なものを購入している</t>
    <rPh sb="0" eb="2">
      <t>ショウシャ</t>
    </rPh>
    <rPh sb="3" eb="5">
      <t>イロイロ</t>
    </rPh>
    <rPh sb="9" eb="11">
      <t>コウニュウ</t>
    </rPh>
    <phoneticPr fontId="5"/>
  </si>
  <si>
    <t>加工機部品</t>
    <rPh sb="0" eb="3">
      <t>カコウキ</t>
    </rPh>
    <rPh sb="3" eb="5">
      <t>ブヒン</t>
    </rPh>
    <phoneticPr fontId="5"/>
  </si>
  <si>
    <t>藤沢氏本藤沢3-5-17</t>
  </si>
  <si>
    <t>251-0875</t>
  </si>
  <si>
    <t>0466-80-6160</t>
  </si>
  <si>
    <t>0466-80-6260</t>
  </si>
  <si>
    <t>ﾄｳｷｮｳﾜｲ</t>
  </si>
  <si>
    <t>かながわ信用金庫</t>
  </si>
  <si>
    <t>ホンチョウ</t>
  </si>
  <si>
    <t>1975647</t>
  </si>
  <si>
    <t>製品梱包包装用ビニール</t>
    <rPh sb="0" eb="2">
      <t>セイヒン</t>
    </rPh>
    <rPh sb="4" eb="6">
      <t>ホウソウ</t>
    </rPh>
    <rPh sb="6" eb="7">
      <t>ヨウ</t>
    </rPh>
    <phoneticPr fontId="5"/>
  </si>
  <si>
    <t>ﾋﾞﾆｰﾙ袋</t>
    <rPh sb="5" eb="6">
      <t>ブクロ</t>
    </rPh>
    <phoneticPr fontId="5"/>
  </si>
  <si>
    <t>愛知県愛知郡東郷町諸輪北山158-89</t>
  </si>
  <si>
    <t>470-0151</t>
  </si>
  <si>
    <t>03-3667-6788</t>
  </si>
  <si>
    <t>03-3667-6789　</t>
  </si>
  <si>
    <t>ﾐｯｸｽｶｶﾞｸ</t>
  </si>
  <si>
    <t>名古屋</t>
  </si>
  <si>
    <t>7229378</t>
  </si>
  <si>
    <t>金型用プレート</t>
    <rPh sb="0" eb="2">
      <t>カナガタ</t>
    </rPh>
    <rPh sb="2" eb="3">
      <t>ヨウ</t>
    </rPh>
    <phoneticPr fontId="5"/>
  </si>
  <si>
    <t>超硬材</t>
    <rPh sb="0" eb="3">
      <t>チョウコウザイ</t>
    </rPh>
    <phoneticPr fontId="5"/>
  </si>
  <si>
    <t>0798-26-3606</t>
  </si>
  <si>
    <t>0798-37-2067</t>
  </si>
  <si>
    <t>ｷｮｳﾘﾂｺﾞｳｷﾝ</t>
  </si>
  <si>
    <t>ニシノミヤ</t>
  </si>
  <si>
    <t>1006180</t>
  </si>
  <si>
    <t>055-272-4481</t>
  </si>
  <si>
    <t>ﾏﾙｱｲ</t>
  </si>
  <si>
    <t>プレスオイルなど</t>
  </si>
  <si>
    <t>ISO9001取得無し</t>
    <rPh sb="7" eb="9">
      <t>シュトク</t>
    </rPh>
    <rPh sb="9" eb="10">
      <t>ナシ</t>
    </rPh>
    <phoneticPr fontId="5"/>
  </si>
  <si>
    <t>ISO 14001</t>
  </si>
  <si>
    <t>抜き油、工作油</t>
    <rPh sb="0" eb="1">
      <t>ヌ</t>
    </rPh>
    <rPh sb="2" eb="3">
      <t>ユ</t>
    </rPh>
    <rPh sb="4" eb="7">
      <t>コウサクユ</t>
    </rPh>
    <phoneticPr fontId="5"/>
  </si>
  <si>
    <t>東京都港区芝5-29-14</t>
  </si>
  <si>
    <t>田町日工ビル</t>
  </si>
  <si>
    <t>108</t>
  </si>
  <si>
    <t>033-455-5511</t>
  </si>
  <si>
    <t>033-453-2667</t>
  </si>
  <si>
    <t>ニホン</t>
  </si>
  <si>
    <t>ミツイスミトモ</t>
  </si>
  <si>
    <t>ミタドオリ</t>
  </si>
  <si>
    <t>0945497</t>
  </si>
  <si>
    <t>砥石</t>
    <rPh sb="0" eb="2">
      <t>トイシ</t>
    </rPh>
    <phoneticPr fontId="5"/>
  </si>
  <si>
    <t>大和市大和東３－４－２０</t>
  </si>
  <si>
    <t>242-0017</t>
  </si>
  <si>
    <t>046-261-1610</t>
  </si>
  <si>
    <t>046-264-2077</t>
  </si>
  <si>
    <t>ｷｮｳｴｲｹﾝ</t>
  </si>
  <si>
    <t>004672</t>
  </si>
  <si>
    <t>ワイヤー設備メーカー</t>
    <rPh sb="4" eb="6">
      <t>セツビ</t>
    </rPh>
    <phoneticPr fontId="5"/>
  </si>
  <si>
    <t>日野市旭が丘３丁目５</t>
  </si>
  <si>
    <t>191</t>
  </si>
  <si>
    <t>0425-84-1111</t>
  </si>
  <si>
    <t>0425-82-3593</t>
  </si>
  <si>
    <t>ﾌｧﾅｯｸ</t>
  </si>
  <si>
    <t>みずほ</t>
  </si>
  <si>
    <t>ヒノ</t>
  </si>
  <si>
    <t>1490188</t>
  </si>
  <si>
    <t>表面処理工程用　治具パーツ</t>
    <rPh sb="0" eb="2">
      <t>ヒョウメン</t>
    </rPh>
    <rPh sb="2" eb="4">
      <t>ショリ</t>
    </rPh>
    <rPh sb="4" eb="6">
      <t>コウテイ</t>
    </rPh>
    <rPh sb="6" eb="7">
      <t>ヨウ</t>
    </rPh>
    <rPh sb="8" eb="10">
      <t>ジグ</t>
    </rPh>
    <phoneticPr fontId="5"/>
  </si>
  <si>
    <t>治具部品</t>
    <rPh sb="0" eb="2">
      <t>ジグ</t>
    </rPh>
    <rPh sb="2" eb="4">
      <t>ブヒン</t>
    </rPh>
    <phoneticPr fontId="5"/>
  </si>
  <si>
    <t>相模原市田名3304－1</t>
  </si>
  <si>
    <t>229-1124</t>
  </si>
  <si>
    <t>042-760-2017</t>
  </si>
  <si>
    <t>042-760-2014</t>
  </si>
  <si>
    <t>ｱｲｺｰ</t>
  </si>
  <si>
    <t>静岡中央</t>
  </si>
  <si>
    <t>バンダ</t>
  </si>
  <si>
    <t>2437621</t>
  </si>
  <si>
    <t>エジェクターピン</t>
  </si>
  <si>
    <t>金型パーツ</t>
  </si>
  <si>
    <t>東京都品川区西五反田4-23-13</t>
  </si>
  <si>
    <t>141-0031</t>
  </si>
  <si>
    <t>050-3153-0989</t>
  </si>
  <si>
    <t>03-6367-0008</t>
  </si>
  <si>
    <t>ｴｲﾃｰ</t>
  </si>
  <si>
    <t>小山</t>
  </si>
  <si>
    <t>9012855</t>
  </si>
  <si>
    <t>フジケース㈱</t>
  </si>
  <si>
    <t>ウエス</t>
  </si>
  <si>
    <t>0463953931</t>
  </si>
  <si>
    <t>ﾌｼﾞｹｰｽ</t>
  </si>
  <si>
    <t>リソナ</t>
  </si>
  <si>
    <t>イセハラ</t>
  </si>
  <si>
    <t>0003875</t>
  </si>
  <si>
    <t>表面処理設備用フィルター</t>
    <rPh sb="0" eb="2">
      <t>ヒョウメン</t>
    </rPh>
    <rPh sb="2" eb="4">
      <t>ショリ</t>
    </rPh>
    <rPh sb="4" eb="6">
      <t>セツビ</t>
    </rPh>
    <rPh sb="6" eb="7">
      <t>ヨウ</t>
    </rPh>
    <phoneticPr fontId="5"/>
  </si>
  <si>
    <t>フィルタ</t>
  </si>
  <si>
    <t>東京都世田谷区桜新町2-20-14</t>
  </si>
  <si>
    <t>154-0015</t>
  </si>
  <si>
    <t>03-3425-3351</t>
  </si>
  <si>
    <t>03-3425-5633</t>
  </si>
  <si>
    <t>ﾄｳｷｮｳﾌｨﾙﾀｰ</t>
  </si>
  <si>
    <t>三菱UFJ</t>
  </si>
  <si>
    <t>成城</t>
  </si>
  <si>
    <t>9001826</t>
  </si>
  <si>
    <t>切削油　など</t>
    <rPh sb="0" eb="2">
      <t>セッサク</t>
    </rPh>
    <rPh sb="2" eb="3">
      <t>ユ</t>
    </rPh>
    <phoneticPr fontId="5"/>
  </si>
  <si>
    <t>高座郡寒川町小動８９１－１０</t>
  </si>
  <si>
    <t>0467-74-8861</t>
  </si>
  <si>
    <t>0467-74-3705</t>
  </si>
  <si>
    <t>ﾔﾏﾄｾｷﾕ</t>
  </si>
  <si>
    <t>1439365</t>
  </si>
  <si>
    <t>ストレッチフィルム、PPバンド</t>
  </si>
  <si>
    <t>ストレッチフィルム</t>
  </si>
  <si>
    <t>福岡市東区松田</t>
  </si>
  <si>
    <t>1丁目10番16号</t>
  </si>
  <si>
    <t>812-0064</t>
  </si>
  <si>
    <t>092-611-5600</t>
  </si>
  <si>
    <t>092-611-5933</t>
  </si>
  <si>
    <t>ﾎｳｹﾝ</t>
  </si>
  <si>
    <t>工具</t>
    <rPh sb="0" eb="2">
      <t>コウグ</t>
    </rPh>
    <phoneticPr fontId="5"/>
  </si>
  <si>
    <t>東京都大田区大森中１－１８－１６</t>
  </si>
  <si>
    <t>143-8533</t>
  </si>
  <si>
    <t>03-3765-1228</t>
  </si>
  <si>
    <t>0120-65-1215</t>
  </si>
  <si>
    <t>ﾂ-ﾙ</t>
  </si>
  <si>
    <t>オオモリ</t>
  </si>
  <si>
    <t>2112268</t>
  </si>
  <si>
    <t>評価用ガス</t>
    <rPh sb="0" eb="2">
      <t>ヒョウカ</t>
    </rPh>
    <rPh sb="2" eb="3">
      <t>ヨウ</t>
    </rPh>
    <phoneticPr fontId="5"/>
  </si>
  <si>
    <t>ＰＲガス</t>
  </si>
  <si>
    <t>トウヨコ</t>
  </si>
  <si>
    <t>武蔵小杉</t>
  </si>
  <si>
    <t>3415</t>
  </si>
  <si>
    <t>水質分析</t>
    <rPh sb="0" eb="2">
      <t>スイシツ</t>
    </rPh>
    <rPh sb="2" eb="4">
      <t>ブンセキ</t>
    </rPh>
    <phoneticPr fontId="5"/>
  </si>
  <si>
    <t>水質分析</t>
  </si>
  <si>
    <t>ﾀﾂﾀｶﾝｷｮｳ</t>
  </si>
  <si>
    <t>三井住友金属鉱山伸銅㈱　C1100R-H　0.80*12　最終購入年月日2018/12/18　</t>
    <rPh sb="29" eb="31">
      <t>サイシュウ</t>
    </rPh>
    <rPh sb="31" eb="34">
      <t>コウニュウネン</t>
    </rPh>
    <rPh sb="34" eb="36">
      <t>ガッピ</t>
    </rPh>
    <phoneticPr fontId="5"/>
  </si>
  <si>
    <t>〇</t>
    <phoneticPr fontId="2"/>
  </si>
  <si>
    <t>ｺｰﾄﾞｰ</t>
  </si>
  <si>
    <t>エバラ</t>
  </si>
  <si>
    <t>3875</t>
  </si>
  <si>
    <t>金型洗浄剤</t>
    <rPh sb="0" eb="2">
      <t>カナガタ</t>
    </rPh>
    <rPh sb="2" eb="5">
      <t>センジョウザイ</t>
    </rPh>
    <phoneticPr fontId="5"/>
  </si>
  <si>
    <t>ｿﾏｯｸｽ</t>
  </si>
  <si>
    <t>りそな銀行</t>
  </si>
  <si>
    <t>タマツクリ</t>
  </si>
  <si>
    <t>501518</t>
  </si>
  <si>
    <t>プレス機械メーカー　保守部品等</t>
    <rPh sb="3" eb="5">
      <t>キカイ</t>
    </rPh>
    <rPh sb="10" eb="15">
      <t>ホシュブヒントウ</t>
    </rPh>
    <phoneticPr fontId="5"/>
  </si>
  <si>
    <t>設備</t>
    <rPh sb="0" eb="2">
      <t>セツビ</t>
    </rPh>
    <phoneticPr fontId="5"/>
  </si>
  <si>
    <t>ﾔﾏﾀﾞﾄﾞﾋﾞ</t>
  </si>
  <si>
    <t>ナギヤエキマエ</t>
  </si>
  <si>
    <t>0137006</t>
  </si>
  <si>
    <t>ニトリル手袋、ハンドクリーナー等</t>
    <rPh sb="4" eb="6">
      <t>テブクロ</t>
    </rPh>
    <rPh sb="15" eb="16">
      <t>トウ</t>
    </rPh>
    <phoneticPr fontId="5"/>
  </si>
  <si>
    <t>ニトリル手袋</t>
  </si>
  <si>
    <t>045-803-6155</t>
  </si>
  <si>
    <t>045-804-6795</t>
  </si>
  <si>
    <t>ｼｮｳﾅﾝ</t>
  </si>
  <si>
    <t>チヨウゴ</t>
  </si>
  <si>
    <t>264034</t>
  </si>
  <si>
    <t>プレス機メーカー　保守部品等</t>
    <rPh sb="3" eb="4">
      <t>キ</t>
    </rPh>
    <rPh sb="9" eb="14">
      <t>ホシュブヒントウ</t>
    </rPh>
    <phoneticPr fontId="5"/>
  </si>
  <si>
    <t>相模原市中央1-1-1　　</t>
    <phoneticPr fontId="5"/>
  </si>
  <si>
    <t>協栄生命相模原ビル3Ｆ</t>
    <phoneticPr fontId="5"/>
  </si>
  <si>
    <t>229-0039</t>
  </si>
  <si>
    <t>042-768-4536</t>
    <phoneticPr fontId="5"/>
  </si>
  <si>
    <t>048-499-3005</t>
    <phoneticPr fontId="5"/>
  </si>
  <si>
    <t>ｺﾏﾂｻﾝｷ</t>
  </si>
  <si>
    <t>オヤマ</t>
  </si>
  <si>
    <t>3974870</t>
  </si>
  <si>
    <t>表面処理設備の純水装置（イオン交換樹脂）</t>
    <rPh sb="0" eb="2">
      <t>ヒョウメン</t>
    </rPh>
    <rPh sb="2" eb="4">
      <t>ショリ</t>
    </rPh>
    <rPh sb="4" eb="6">
      <t>セツビ</t>
    </rPh>
    <rPh sb="7" eb="9">
      <t>ジュンスイ</t>
    </rPh>
    <rPh sb="9" eb="11">
      <t>ソウチ</t>
    </rPh>
    <rPh sb="15" eb="17">
      <t>コウカン</t>
    </rPh>
    <rPh sb="17" eb="19">
      <t>ジュシ</t>
    </rPh>
    <phoneticPr fontId="5"/>
  </si>
  <si>
    <t>千葉県船橋市潮見町８</t>
    <phoneticPr fontId="5"/>
  </si>
  <si>
    <t>047-434-0715</t>
    <phoneticPr fontId="5"/>
  </si>
  <si>
    <t>0466-97-3502</t>
    <phoneticPr fontId="5"/>
  </si>
  <si>
    <t>ｵﾙｶﾞﾉﾄｳｷｮｳ</t>
  </si>
  <si>
    <t>ホンゴウ</t>
  </si>
  <si>
    <t>0004262</t>
  </si>
  <si>
    <t>計量器</t>
    <rPh sb="0" eb="3">
      <t>ケイリョウキ</t>
    </rPh>
    <phoneticPr fontId="5"/>
  </si>
  <si>
    <t>厚木市南町13-19</t>
  </si>
  <si>
    <t>046-229-2250</t>
  </si>
  <si>
    <t>046-229-3380</t>
  </si>
  <si>
    <t>テラオカ</t>
  </si>
  <si>
    <t>エンボステープ</t>
    <phoneticPr fontId="2"/>
  </si>
  <si>
    <t>ISO9001取得有り</t>
    <phoneticPr fontId="2"/>
  </si>
  <si>
    <t>加工課</t>
    <phoneticPr fontId="2"/>
  </si>
  <si>
    <t>梱包資材</t>
    <rPh sb="0" eb="4">
      <t>コンポウシザイ</t>
    </rPh>
    <phoneticPr fontId="2"/>
  </si>
  <si>
    <t>㈱　トミタ</t>
    <phoneticPr fontId="2"/>
  </si>
  <si>
    <t>自動機用パーツ</t>
    <rPh sb="0" eb="4">
      <t>ジドウキヨウ</t>
    </rPh>
    <phoneticPr fontId="2"/>
  </si>
  <si>
    <t>自動機ﾊﾟｰﾂ</t>
    <rPh sb="0" eb="3">
      <t>ジドウキ</t>
    </rPh>
    <phoneticPr fontId="2"/>
  </si>
  <si>
    <t>商社　色々なものを購入している</t>
    <phoneticPr fontId="2"/>
  </si>
  <si>
    <t>消耗品</t>
    <rPh sb="0" eb="3">
      <t>ショウモウヒン</t>
    </rPh>
    <phoneticPr fontId="2"/>
  </si>
  <si>
    <t>UKAS</t>
    <phoneticPr fontId="1"/>
  </si>
  <si>
    <t>B</t>
    <phoneticPr fontId="1"/>
  </si>
  <si>
    <t>世紀㈱</t>
    <rPh sb="0" eb="2">
      <t>セイキ</t>
    </rPh>
    <phoneticPr fontId="1"/>
  </si>
  <si>
    <t>成形用ヒーター</t>
    <rPh sb="0" eb="3">
      <t>セイケイヨウ</t>
    </rPh>
    <phoneticPr fontId="2"/>
  </si>
  <si>
    <t>金型部品</t>
    <rPh sb="0" eb="2">
      <t>カナガタ</t>
    </rPh>
    <rPh sb="2" eb="4">
      <t>ブヒン</t>
    </rPh>
    <phoneticPr fontId="2"/>
  </si>
  <si>
    <t>東京都中央区日本橋本町3-9-4</t>
    <phoneticPr fontId="1"/>
  </si>
  <si>
    <t>03-66904201</t>
    <phoneticPr fontId="1"/>
  </si>
  <si>
    <t>03-6690-4204</t>
    <phoneticPr fontId="1"/>
  </si>
  <si>
    <t>金型ダイセット</t>
    <rPh sb="0" eb="2">
      <t>カナガタ</t>
    </rPh>
    <phoneticPr fontId="2"/>
  </si>
  <si>
    <t>048-284-4711</t>
    <phoneticPr fontId="1"/>
  </si>
  <si>
    <t>048-282-5258</t>
    <phoneticPr fontId="1"/>
  </si>
  <si>
    <t>㈱関東機工</t>
    <rPh sb="1" eb="5">
      <t>カントウキコウ</t>
    </rPh>
    <phoneticPr fontId="1"/>
  </si>
  <si>
    <t>プレス機点検</t>
    <rPh sb="3" eb="4">
      <t>キ</t>
    </rPh>
    <rPh sb="4" eb="6">
      <t>テンケン</t>
    </rPh>
    <phoneticPr fontId="2"/>
  </si>
  <si>
    <t>設備管理</t>
    <rPh sb="0" eb="2">
      <t>セツビ</t>
    </rPh>
    <rPh sb="2" eb="4">
      <t>カンリ</t>
    </rPh>
    <phoneticPr fontId="2"/>
  </si>
  <si>
    <t>神奈川県相模原市緑区橋本台1-27-21</t>
    <phoneticPr fontId="1"/>
  </si>
  <si>
    <t>042-773-5517</t>
    <phoneticPr fontId="1"/>
  </si>
  <si>
    <t>042-772-6673</t>
    <phoneticPr fontId="1"/>
  </si>
  <si>
    <t>大同特殊鋼㈱</t>
    <phoneticPr fontId="5"/>
  </si>
  <si>
    <t>東ソー株式会社</t>
    <phoneticPr fontId="5"/>
  </si>
  <si>
    <t>新日本精機㈱</t>
    <phoneticPr fontId="1"/>
  </si>
  <si>
    <t>㈱キーエンス</t>
    <phoneticPr fontId="1"/>
  </si>
  <si>
    <t>ＭＩＣＳ化学</t>
    <phoneticPr fontId="1"/>
  </si>
  <si>
    <t>購買品</t>
    <rPh sb="0" eb="3">
      <t>コウバイヒン</t>
    </rPh>
    <phoneticPr fontId="1"/>
  </si>
  <si>
    <t>主要材料</t>
    <rPh sb="0" eb="4">
      <t>シュヨウザイリョウ</t>
    </rPh>
    <phoneticPr fontId="1"/>
  </si>
  <si>
    <t>一般購買品</t>
    <rPh sb="0" eb="2">
      <t>イッパン</t>
    </rPh>
    <rPh sb="2" eb="5">
      <t>コウバイヒン</t>
    </rPh>
    <phoneticPr fontId="1"/>
  </si>
  <si>
    <t>更新：</t>
    <rPh sb="0" eb="2">
      <t>コウシン</t>
    </rPh>
    <phoneticPr fontId="1"/>
  </si>
  <si>
    <t>発注方法</t>
    <rPh sb="0" eb="2">
      <t>ハッチュウ</t>
    </rPh>
    <rPh sb="2" eb="4">
      <t>ホウホウ</t>
    </rPh>
    <phoneticPr fontId="1"/>
  </si>
  <si>
    <t>メール</t>
    <phoneticPr fontId="1"/>
  </si>
  <si>
    <t>供給者名（発注先）</t>
    <rPh sb="0" eb="4">
      <t>キョウキュウシャメイ</t>
    </rPh>
    <rPh sb="5" eb="7">
      <t>ハッチュウ</t>
    </rPh>
    <rPh sb="7" eb="8">
      <t>サキ</t>
    </rPh>
    <phoneticPr fontId="2"/>
  </si>
  <si>
    <t>担当者</t>
    <rPh sb="0" eb="3">
      <t>タントウシャ</t>
    </rPh>
    <phoneticPr fontId="1"/>
  </si>
  <si>
    <t>佐藤・石橋</t>
    <rPh sb="0" eb="2">
      <t>サトウ</t>
    </rPh>
    <rPh sb="3" eb="5">
      <t>イシバシ</t>
    </rPh>
    <phoneticPr fontId="1"/>
  </si>
  <si>
    <t>平瀬</t>
    <rPh sb="0" eb="2">
      <t>ヒラセ</t>
    </rPh>
    <phoneticPr fontId="1"/>
  </si>
  <si>
    <t>ミヤタへ手配</t>
    <rPh sb="4" eb="6">
      <t>テハイ</t>
    </rPh>
    <phoneticPr fontId="1"/>
  </si>
  <si>
    <t>小林・田淵</t>
    <rPh sb="0" eb="2">
      <t>コバヤシ</t>
    </rPh>
    <rPh sb="3" eb="5">
      <t>タブチ</t>
    </rPh>
    <phoneticPr fontId="1"/>
  </si>
  <si>
    <t>メールorFAX</t>
    <phoneticPr fontId="1"/>
  </si>
  <si>
    <t>吉田</t>
    <rPh sb="0" eb="2">
      <t>ヨシダ</t>
    </rPh>
    <phoneticPr fontId="1"/>
  </si>
  <si>
    <t>yusuke.yoshida@tokyozairyo.co.jp</t>
    <phoneticPr fontId="1"/>
  </si>
  <si>
    <t>&lt;t-sato@mi-ya-ta.co.jp&gt;、&lt;y-ishibashi@mi-ya-ta.co.jp&gt;</t>
    <phoneticPr fontId="1"/>
  </si>
  <si>
    <t>hirase-keito@hanwa.co.jp</t>
    <phoneticPr fontId="1"/>
  </si>
  <si>
    <t>&lt;sada@toeidenka.co.jp&gt;、&lt;tabuchi@toeidenka.co.jp&gt;</t>
    <phoneticPr fontId="1"/>
  </si>
  <si>
    <t>042-771-1528</t>
    <phoneticPr fontId="1"/>
  </si>
  <si>
    <t>042-773-4032</t>
    <phoneticPr fontId="1"/>
  </si>
  <si>
    <t xml:space="preserve"> &lt;hayakawa@jp-ncd.com&gt;</t>
  </si>
  <si>
    <t>早川</t>
    <rPh sb="0" eb="2">
      <t>ハヤカワ</t>
    </rPh>
    <phoneticPr fontId="1"/>
  </si>
  <si>
    <t>FAX</t>
    <phoneticPr fontId="1"/>
  </si>
  <si>
    <t>岡田</t>
    <rPh sb="0" eb="2">
      <t>オカダ</t>
    </rPh>
    <phoneticPr fontId="1"/>
  </si>
  <si>
    <t>n-okada@sanmatu.co.jp</t>
    <phoneticPr fontId="1"/>
  </si>
  <si>
    <t>yo_kobayashi@cleanvy-jp.com</t>
    <phoneticPr fontId="1"/>
  </si>
  <si>
    <t>0266-57-0521</t>
    <phoneticPr fontId="1"/>
  </si>
  <si>
    <t>長野県諏訪市四賀3011-3</t>
    <phoneticPr fontId="1"/>
  </si>
  <si>
    <t>小林</t>
    <rPh sb="0" eb="2">
      <t>コバヤシ</t>
    </rPh>
    <phoneticPr fontId="1"/>
  </si>
  <si>
    <t>0266-52-5191</t>
    <phoneticPr fontId="1"/>
  </si>
  <si>
    <t>新日本化成㈱</t>
    <phoneticPr fontId="5"/>
  </si>
  <si>
    <t>WEB</t>
    <phoneticPr fontId="1"/>
  </si>
  <si>
    <t>榎本</t>
    <rPh sb="0" eb="2">
      <t>エノモト</t>
    </rPh>
    <phoneticPr fontId="1"/>
  </si>
  <si>
    <t xml:space="preserve"> &lt;sa-8@toukaikoutetsu.com&gt;</t>
    <phoneticPr fontId="1"/>
  </si>
  <si>
    <t>-</t>
    <phoneticPr fontId="1"/>
  </si>
  <si>
    <t>パンチ工業　㈱</t>
    <phoneticPr fontId="1"/>
  </si>
  <si>
    <t>㈱橋本工商</t>
    <phoneticPr fontId="1"/>
  </si>
  <si>
    <t>前澤</t>
    <rPh sb="0" eb="2">
      <t>マエザワ</t>
    </rPh>
    <phoneticPr fontId="1"/>
  </si>
  <si>
    <t xml:space="preserve"> &lt;y.maezawa.fujikoo@gmail.com&gt;</t>
  </si>
  <si>
    <t>chk-nakamoto@jcom.home.ne.jp</t>
    <phoneticPr fontId="1"/>
  </si>
  <si>
    <t>中基</t>
    <phoneticPr fontId="1"/>
  </si>
  <si>
    <t>田内</t>
    <rPh sb="0" eb="2">
      <t>タウチ</t>
    </rPh>
    <phoneticPr fontId="1"/>
  </si>
  <si>
    <t>tauchi@tokyoproto.co.jp</t>
    <phoneticPr fontId="1"/>
  </si>
  <si>
    <t>toyama@nalex.co.jp</t>
    <phoneticPr fontId="1"/>
  </si>
  <si>
    <t>遠山</t>
    <rPh sb="0" eb="2">
      <t>トオヤマ</t>
    </rPh>
    <phoneticPr fontId="1"/>
  </si>
  <si>
    <t>FAX</t>
    <phoneticPr fontId="1"/>
  </si>
  <si>
    <t>牧野 俊輔</t>
    <phoneticPr fontId="1"/>
  </si>
  <si>
    <t xml:space="preserve"> &lt;s-makino@everloy.co.jp&gt;</t>
    <phoneticPr fontId="1"/>
  </si>
  <si>
    <t>t.furuya@maruai.co.jp</t>
    <phoneticPr fontId="1"/>
  </si>
  <si>
    <t>古屋</t>
    <phoneticPr fontId="1"/>
  </si>
  <si>
    <t>order@nihon-kohsakuyu.co.jp</t>
    <phoneticPr fontId="1"/>
  </si>
  <si>
    <t>共栄研磨材㈱</t>
    <phoneticPr fontId="1"/>
  </si>
  <si>
    <t>&lt;H_Miyazawa@kyoeikenmazai.co.jp&gt;</t>
  </si>
  <si>
    <t>宮澤</t>
    <rPh sb="0" eb="2">
      <t>ミヤザワ</t>
    </rPh>
    <phoneticPr fontId="1"/>
  </si>
  <si>
    <t xml:space="preserve">&lt;info@aikoh.jp&gt;  </t>
  </si>
  <si>
    <t>平本</t>
    <rPh sb="0" eb="2">
      <t>ヒラモト</t>
    </rPh>
    <phoneticPr fontId="1"/>
  </si>
  <si>
    <t>syohji@tfh.co.jp</t>
    <phoneticPr fontId="1"/>
  </si>
  <si>
    <t>庄子</t>
    <phoneticPr fontId="1"/>
  </si>
  <si>
    <t>久保</t>
    <rPh sb="0" eb="2">
      <t>クボ</t>
    </rPh>
    <phoneticPr fontId="1"/>
  </si>
  <si>
    <t>shunji.kubo@kodo.co.jp</t>
    <phoneticPr fontId="1"/>
  </si>
  <si>
    <t>落合</t>
    <rPh sb="0" eb="2">
      <t>オチアイ</t>
    </rPh>
    <phoneticPr fontId="1"/>
  </si>
  <si>
    <t>tokumori-hayashi@seiki-hot.com&gt;</t>
    <phoneticPr fontId="1"/>
  </si>
  <si>
    <t>林</t>
  </si>
  <si>
    <t>埼玉県川口市江戸1-11-28</t>
    <phoneticPr fontId="1"/>
  </si>
  <si>
    <t>池田</t>
    <rPh sb="0" eb="2">
      <t>イケダ</t>
    </rPh>
    <phoneticPr fontId="1"/>
  </si>
  <si>
    <t xml:space="preserve"> &lt;takurou-ikeda@kawashima-kinzoku.co.jp&gt;</t>
    <phoneticPr fontId="1"/>
  </si>
  <si>
    <t>高塀</t>
    <rPh sb="0" eb="1">
      <t>タカ</t>
    </rPh>
    <rPh sb="1" eb="2">
      <t>ヘイ</t>
    </rPh>
    <phoneticPr fontId="1"/>
  </si>
  <si>
    <t>川島金属</t>
    <rPh sb="0" eb="2">
      <t>カワシマ</t>
    </rPh>
    <rPh sb="2" eb="4">
      <t>キンゾク</t>
    </rPh>
    <phoneticPr fontId="1"/>
  </si>
  <si>
    <t>takahei@kantojapan.com</t>
    <phoneticPr fontId="1"/>
  </si>
  <si>
    <t>タツタ環境分析センター</t>
    <phoneticPr fontId="1"/>
  </si>
  <si>
    <t>(0467)87-0967</t>
    <phoneticPr fontId="1"/>
  </si>
  <si>
    <t xml:space="preserve"> (0467)84-0235</t>
    <phoneticPr fontId="1"/>
  </si>
  <si>
    <t>（06）6976-1108</t>
    <phoneticPr fontId="1"/>
  </si>
  <si>
    <t>（06）6977-5702</t>
    <phoneticPr fontId="1"/>
  </si>
  <si>
    <t>㈱山田ドビー</t>
    <phoneticPr fontId="1"/>
  </si>
  <si>
    <t>(0586)-69-5664</t>
    <phoneticPr fontId="1"/>
  </si>
  <si>
    <t>テルヤ電機 (株)</t>
    <phoneticPr fontId="1"/>
  </si>
  <si>
    <t xml:space="preserve">j_kamogawa@teruyadenki.co.jp </t>
    <phoneticPr fontId="1"/>
  </si>
  <si>
    <t>鴨川</t>
    <rPh sb="0" eb="2">
      <t>カモガワ</t>
    </rPh>
    <phoneticPr fontId="1"/>
  </si>
  <si>
    <t>0462-44-3911</t>
    <phoneticPr fontId="1"/>
  </si>
  <si>
    <t>0462-44-3985</t>
    <phoneticPr fontId="1"/>
  </si>
  <si>
    <t xml:space="preserve">&lt;ochiai@iida-net.co.jp&gt; </t>
    <phoneticPr fontId="1"/>
  </si>
  <si>
    <t>2024年仕入実績</t>
    <rPh sb="4" eb="5">
      <t>ネン</t>
    </rPh>
    <rPh sb="5" eb="7">
      <t>シイレ</t>
    </rPh>
    <rPh sb="7" eb="9">
      <t>ジッセキ</t>
    </rPh>
    <phoneticPr fontId="5"/>
  </si>
  <si>
    <t>２０２４年度</t>
    <rPh sb="4" eb="6">
      <t>ネンド</t>
    </rPh>
    <phoneticPr fontId="1"/>
  </si>
  <si>
    <t>調査日</t>
    <rPh sb="0" eb="2">
      <t>チョウサ</t>
    </rPh>
    <rPh sb="2" eb="3">
      <t>ヒ</t>
    </rPh>
    <phoneticPr fontId="1"/>
  </si>
  <si>
    <t>項番</t>
    <rPh sb="0" eb="2">
      <t>コウバン</t>
    </rPh>
    <phoneticPr fontId="1"/>
  </si>
  <si>
    <t>供給者</t>
    <rPh sb="0" eb="3">
      <t>キョウキュウシャ</t>
    </rPh>
    <phoneticPr fontId="1"/>
  </si>
  <si>
    <t>購入品</t>
    <rPh sb="0" eb="2">
      <t>コウニュウ</t>
    </rPh>
    <rPh sb="2" eb="3">
      <t>ヒン</t>
    </rPh>
    <phoneticPr fontId="1"/>
  </si>
  <si>
    <t>最終購入日</t>
    <rPh sb="0" eb="2">
      <t>サイシュウ</t>
    </rPh>
    <rPh sb="2" eb="4">
      <t>コウニュウ</t>
    </rPh>
    <rPh sb="4" eb="5">
      <t>ヒ</t>
    </rPh>
    <phoneticPr fontId="1"/>
  </si>
  <si>
    <t>最終購入日からの経過日数</t>
    <rPh sb="0" eb="2">
      <t>サイシュウ</t>
    </rPh>
    <rPh sb="2" eb="5">
      <t>コウニュウヒ</t>
    </rPh>
    <rPh sb="8" eb="10">
      <t>ケイカ</t>
    </rPh>
    <rPh sb="10" eb="12">
      <t>ニッスウ</t>
    </rPh>
    <phoneticPr fontId="1"/>
  </si>
  <si>
    <t>R値</t>
    <rPh sb="1" eb="2">
      <t>チ</t>
    </rPh>
    <phoneticPr fontId="1"/>
  </si>
  <si>
    <t>累計購入回数</t>
    <rPh sb="0" eb="2">
      <t>ルイケイ</t>
    </rPh>
    <rPh sb="2" eb="4">
      <t>コウニュウ</t>
    </rPh>
    <rPh sb="4" eb="6">
      <t>カイスウ</t>
    </rPh>
    <phoneticPr fontId="1"/>
  </si>
  <si>
    <t>F値</t>
    <rPh sb="1" eb="2">
      <t>チ</t>
    </rPh>
    <phoneticPr fontId="1"/>
  </si>
  <si>
    <t>累積購入金額</t>
    <rPh sb="0" eb="2">
      <t>ルイセキ</t>
    </rPh>
    <rPh sb="2" eb="4">
      <t>コウニュウ</t>
    </rPh>
    <rPh sb="4" eb="6">
      <t>キンガク</t>
    </rPh>
    <phoneticPr fontId="1"/>
  </si>
  <si>
    <t>M値</t>
    <rPh sb="1" eb="2">
      <t>チ</t>
    </rPh>
    <phoneticPr fontId="1"/>
  </si>
  <si>
    <t>総合点数</t>
    <rPh sb="0" eb="2">
      <t>ソウゴウ</t>
    </rPh>
    <rPh sb="2" eb="4">
      <t>テンスウ</t>
    </rPh>
    <phoneticPr fontId="1"/>
  </si>
  <si>
    <t>ランク</t>
  </si>
  <si>
    <t>R値：最終購入日</t>
    <rPh sb="1" eb="2">
      <t>チ</t>
    </rPh>
    <rPh sb="3" eb="5">
      <t>サイシュウ</t>
    </rPh>
    <rPh sb="5" eb="8">
      <t>コウニュウヒ</t>
    </rPh>
    <phoneticPr fontId="1"/>
  </si>
  <si>
    <t>F値：購入回数</t>
    <rPh sb="1" eb="2">
      <t>チ</t>
    </rPh>
    <rPh sb="3" eb="5">
      <t>コウニュウ</t>
    </rPh>
    <rPh sb="5" eb="7">
      <t>カイスウ</t>
    </rPh>
    <phoneticPr fontId="1"/>
  </si>
  <si>
    <t>M値：購入金額</t>
    <rPh sb="1" eb="2">
      <t>チ</t>
    </rPh>
    <rPh sb="3" eb="5">
      <t>コウニュウ</t>
    </rPh>
    <rPh sb="5" eb="7">
      <t>キンガク</t>
    </rPh>
    <phoneticPr fontId="1"/>
  </si>
  <si>
    <t>A1050-H24</t>
  </si>
  <si>
    <t>5</t>
  </si>
  <si>
    <t>4</t>
  </si>
  <si>
    <t>B</t>
  </si>
  <si>
    <t>最終購入日３０日未満</t>
    <rPh sb="0" eb="2">
      <t>サイシュウ</t>
    </rPh>
    <rPh sb="2" eb="5">
      <t>コウニュウヒ</t>
    </rPh>
    <rPh sb="7" eb="8">
      <t>ニチ</t>
    </rPh>
    <rPh sb="8" eb="10">
      <t>ミマン</t>
    </rPh>
    <phoneticPr fontId="1"/>
  </si>
  <si>
    <t>100回以上</t>
    <rPh sb="3" eb="4">
      <t>カイ</t>
    </rPh>
    <rPh sb="4" eb="6">
      <t>イジョウ</t>
    </rPh>
    <phoneticPr fontId="1"/>
  </si>
  <si>
    <t>１千万円以上</t>
    <rPh sb="1" eb="3">
      <t>センマン</t>
    </rPh>
    <rPh sb="3" eb="4">
      <t>エン</t>
    </rPh>
    <rPh sb="4" eb="6">
      <t>イジョウ</t>
    </rPh>
    <phoneticPr fontId="1"/>
  </si>
  <si>
    <t>A5052-H34</t>
  </si>
  <si>
    <t>F</t>
  </si>
  <si>
    <t>最終購入日６０日未満</t>
    <rPh sb="0" eb="2">
      <t>サイシュウ</t>
    </rPh>
    <rPh sb="2" eb="5">
      <t>コウニュウヒ</t>
    </rPh>
    <rPh sb="7" eb="8">
      <t>ニチ</t>
    </rPh>
    <phoneticPr fontId="1"/>
  </si>
  <si>
    <t>70回以上</t>
    <rPh sb="2" eb="3">
      <t>カイ</t>
    </rPh>
    <rPh sb="3" eb="5">
      <t>イジョウ</t>
    </rPh>
    <phoneticPr fontId="1"/>
  </si>
  <si>
    <t>５００万円以上</t>
    <rPh sb="3" eb="5">
      <t>マンエン</t>
    </rPh>
    <rPh sb="5" eb="7">
      <t>イジョウ</t>
    </rPh>
    <phoneticPr fontId="1"/>
  </si>
  <si>
    <t>C1020-1/2H</t>
  </si>
  <si>
    <t>C</t>
  </si>
  <si>
    <t>最終購入日９０日未満</t>
    <rPh sb="0" eb="5">
      <t>サイシュウコウニュウヒ</t>
    </rPh>
    <rPh sb="7" eb="8">
      <t>ニチ</t>
    </rPh>
    <phoneticPr fontId="1"/>
  </si>
  <si>
    <t>50回以上</t>
    <rPh sb="2" eb="3">
      <t>カイ</t>
    </rPh>
    <rPh sb="3" eb="5">
      <t>イジョウ</t>
    </rPh>
    <phoneticPr fontId="1"/>
  </si>
  <si>
    <t>300万円以上</t>
    <rPh sb="3" eb="5">
      <t>マンエン</t>
    </rPh>
    <rPh sb="5" eb="7">
      <t>イジョウ</t>
    </rPh>
    <phoneticPr fontId="1"/>
  </si>
  <si>
    <t>Ni201-1/2H</t>
  </si>
  <si>
    <t>最終購入日180日未満</t>
    <rPh sb="0" eb="5">
      <t>サイシュウコウニュウヒ</t>
    </rPh>
    <rPh sb="8" eb="9">
      <t>ニチ</t>
    </rPh>
    <phoneticPr fontId="1"/>
  </si>
  <si>
    <t>30回以上</t>
    <rPh sb="2" eb="5">
      <t>カイイジョウ</t>
    </rPh>
    <phoneticPr fontId="1"/>
  </si>
  <si>
    <t>１００万円以上</t>
    <rPh sb="3" eb="5">
      <t>マンエン</t>
    </rPh>
    <rPh sb="5" eb="7">
      <t>イジョウ</t>
    </rPh>
    <phoneticPr fontId="1"/>
  </si>
  <si>
    <t>最終購入日181日以上</t>
    <rPh sb="0" eb="5">
      <t>サイシュウコウニュウヒ</t>
    </rPh>
    <rPh sb="8" eb="9">
      <t>ニチ</t>
    </rPh>
    <rPh sb="9" eb="11">
      <t>イジョウ</t>
    </rPh>
    <phoneticPr fontId="1"/>
  </si>
  <si>
    <t>29回以下</t>
    <rPh sb="2" eb="3">
      <t>カイ</t>
    </rPh>
    <rPh sb="3" eb="5">
      <t>イカ</t>
    </rPh>
    <phoneticPr fontId="1"/>
  </si>
  <si>
    <t>99万円以下</t>
    <rPh sb="2" eb="4">
      <t>マンエン</t>
    </rPh>
    <rPh sb="4" eb="6">
      <t>イカ</t>
    </rPh>
    <phoneticPr fontId="1"/>
  </si>
  <si>
    <t>15点</t>
    <rPh sb="2" eb="3">
      <t>テン</t>
    </rPh>
    <phoneticPr fontId="1"/>
  </si>
  <si>
    <t>A</t>
  </si>
  <si>
    <t>石塚化学</t>
    <rPh sb="0" eb="2">
      <t>イシヅカ</t>
    </rPh>
    <rPh sb="2" eb="4">
      <t>カガク</t>
    </rPh>
    <phoneticPr fontId="1"/>
  </si>
  <si>
    <t>AY564</t>
  </si>
  <si>
    <t>3</t>
  </si>
  <si>
    <t>１３点</t>
    <rPh sb="2" eb="3">
      <t>テン</t>
    </rPh>
    <phoneticPr fontId="1"/>
  </si>
  <si>
    <t>岡田紙業</t>
    <rPh sb="0" eb="4">
      <t>オカダシギョウ</t>
    </rPh>
    <phoneticPr fontId="1"/>
  </si>
  <si>
    <t>FRA7507OP  MP-6</t>
  </si>
  <si>
    <t>７点</t>
    <rPh sb="1" eb="2">
      <t>テン</t>
    </rPh>
    <phoneticPr fontId="1"/>
  </si>
  <si>
    <t>FD102N</t>
  </si>
  <si>
    <t>5点</t>
    <rPh sb="1" eb="2">
      <t>テン</t>
    </rPh>
    <phoneticPr fontId="1"/>
  </si>
  <si>
    <t>D</t>
  </si>
  <si>
    <t>硝酸</t>
    <rPh sb="0" eb="2">
      <t>ショウサン</t>
    </rPh>
    <phoneticPr fontId="1"/>
  </si>
  <si>
    <t>4点以下</t>
    <rPh sb="1" eb="2">
      <t>テン</t>
    </rPh>
    <rPh sb="2" eb="4">
      <t>イカ</t>
    </rPh>
    <phoneticPr fontId="1"/>
  </si>
  <si>
    <t>HC-370</t>
  </si>
  <si>
    <t>ダンボール、紙</t>
    <rPh sb="6" eb="7">
      <t>カミ</t>
    </rPh>
    <phoneticPr fontId="1"/>
  </si>
  <si>
    <t>金属プレート</t>
    <rPh sb="0" eb="2">
      <t>キンゾク</t>
    </rPh>
    <phoneticPr fontId="1"/>
  </si>
  <si>
    <t>金型パーツ</t>
    <rPh sb="0" eb="2">
      <t>カナガタ</t>
    </rPh>
    <phoneticPr fontId="1"/>
  </si>
  <si>
    <t>アルマイト</t>
  </si>
  <si>
    <t>コーナーアングル</t>
  </si>
  <si>
    <t>金型部品、プレート</t>
    <rPh sb="0" eb="2">
      <t>カナガタ</t>
    </rPh>
    <rPh sb="2" eb="4">
      <t>ブヒン</t>
    </rPh>
    <phoneticPr fontId="1"/>
  </si>
  <si>
    <t>キョクサン</t>
  </si>
  <si>
    <t>日本コーティングセンター</t>
    <rPh sb="0" eb="2">
      <t>ニホン</t>
    </rPh>
    <phoneticPr fontId="1"/>
  </si>
  <si>
    <t>パーツコーティング</t>
  </si>
  <si>
    <t>ビニール袋</t>
    <rPh sb="4" eb="5">
      <t>フクロ</t>
    </rPh>
    <phoneticPr fontId="1"/>
  </si>
  <si>
    <t>表面処理フィルター</t>
    <rPh sb="0" eb="4">
      <t>ヒョウメンショリ</t>
    </rPh>
    <phoneticPr fontId="1"/>
  </si>
  <si>
    <t>打ち抜き油、加工油</t>
    <rPh sb="0" eb="1">
      <t>ウ</t>
    </rPh>
    <rPh sb="2" eb="3">
      <t>ヌ</t>
    </rPh>
    <rPh sb="4" eb="5">
      <t>アブラ</t>
    </rPh>
    <rPh sb="6" eb="8">
      <t>カコウ</t>
    </rPh>
    <rPh sb="8" eb="9">
      <t>アブラ</t>
    </rPh>
    <phoneticPr fontId="1"/>
  </si>
  <si>
    <t>工具、他部品</t>
    <rPh sb="0" eb="2">
      <t>コウグ</t>
    </rPh>
    <rPh sb="3" eb="4">
      <t>ホカ</t>
    </rPh>
    <rPh sb="4" eb="6">
      <t>ブヒン</t>
    </rPh>
    <phoneticPr fontId="1"/>
  </si>
  <si>
    <t>超音波装置、部品</t>
    <rPh sb="0" eb="3">
      <t>チョウオンパ</t>
    </rPh>
    <rPh sb="3" eb="5">
      <t>ソウチ</t>
    </rPh>
    <rPh sb="6" eb="8">
      <t>ブヒン</t>
    </rPh>
    <phoneticPr fontId="1"/>
  </si>
  <si>
    <t>熱処理</t>
    <rPh sb="0" eb="3">
      <t>ネツショリ</t>
    </rPh>
    <phoneticPr fontId="1"/>
  </si>
  <si>
    <t>処理消耗品</t>
    <rPh sb="0" eb="2">
      <t>ショリ</t>
    </rPh>
    <rPh sb="2" eb="5">
      <t>ショウモウヒン</t>
    </rPh>
    <phoneticPr fontId="1"/>
  </si>
  <si>
    <t>消耗品</t>
    <rPh sb="0" eb="3">
      <t>ショウモウヒン</t>
    </rPh>
    <phoneticPr fontId="1"/>
  </si>
  <si>
    <t>ワイヤー加工機備品</t>
    <rPh sb="4" eb="7">
      <t>カコウキ</t>
    </rPh>
    <rPh sb="7" eb="9">
      <t>ビヒン</t>
    </rPh>
    <phoneticPr fontId="1"/>
  </si>
  <si>
    <t>工作機備品</t>
    <rPh sb="0" eb="3">
      <t>コウサクキ</t>
    </rPh>
    <rPh sb="3" eb="5">
      <t>ビヒン</t>
    </rPh>
    <phoneticPr fontId="1"/>
  </si>
  <si>
    <t>MICS化学</t>
    <rPh sb="4" eb="6">
      <t>カガク</t>
    </rPh>
    <phoneticPr fontId="1"/>
  </si>
  <si>
    <t>超硬材</t>
    <rPh sb="0" eb="1">
      <t>チョウ</t>
    </rPh>
    <rPh sb="1" eb="2">
      <t>カタ</t>
    </rPh>
    <rPh sb="2" eb="3">
      <t>ザイ</t>
    </rPh>
    <phoneticPr fontId="1"/>
  </si>
  <si>
    <t>共栄研磨材</t>
    <rPh sb="0" eb="2">
      <t>キョウエイ</t>
    </rPh>
    <rPh sb="2" eb="4">
      <t>ケンマ</t>
    </rPh>
    <rPh sb="4" eb="5">
      <t>ザイ</t>
    </rPh>
    <phoneticPr fontId="1"/>
  </si>
  <si>
    <t>砥石</t>
    <rPh sb="0" eb="2">
      <t>トイシ</t>
    </rPh>
    <phoneticPr fontId="1"/>
  </si>
  <si>
    <t>加工機備品</t>
    <rPh sb="0" eb="3">
      <t>カコウキ</t>
    </rPh>
    <rPh sb="3" eb="5">
      <t>ビヒン</t>
    </rPh>
    <phoneticPr fontId="1"/>
  </si>
  <si>
    <t>処理治具、他</t>
    <rPh sb="0" eb="2">
      <t>ショリ</t>
    </rPh>
    <rPh sb="2" eb="4">
      <t>ジグ</t>
    </rPh>
    <rPh sb="5" eb="6">
      <t>ホカ</t>
    </rPh>
    <phoneticPr fontId="1"/>
  </si>
  <si>
    <t>加工機用油</t>
    <rPh sb="0" eb="3">
      <t>カコウキ</t>
    </rPh>
    <rPh sb="3" eb="4">
      <t>ヨウ</t>
    </rPh>
    <rPh sb="4" eb="5">
      <t>アブラ</t>
    </rPh>
    <phoneticPr fontId="1"/>
  </si>
  <si>
    <t>評価用ガス</t>
    <rPh sb="0" eb="3">
      <t>ヒョウカヨウ</t>
    </rPh>
    <phoneticPr fontId="1"/>
  </si>
  <si>
    <t>水質分析</t>
    <rPh sb="0" eb="2">
      <t>スイシツ</t>
    </rPh>
    <rPh sb="2" eb="4">
      <t>ブンセキ</t>
    </rPh>
    <phoneticPr fontId="1"/>
  </si>
  <si>
    <t>C1100R-H</t>
  </si>
  <si>
    <t>金型洗浄剤</t>
    <rPh sb="0" eb="2">
      <t>カナガタ</t>
    </rPh>
    <rPh sb="2" eb="5">
      <t>センジョウザイ</t>
    </rPh>
    <phoneticPr fontId="1"/>
  </si>
  <si>
    <t>プレス機械メーカー　保守部品等</t>
  </si>
  <si>
    <t>㈱湘南ワイパーサプライ</t>
    <rPh sb="1" eb="3">
      <t>ショウナン</t>
    </rPh>
    <phoneticPr fontId="1"/>
  </si>
  <si>
    <t>ハンドクリーナー等</t>
  </si>
  <si>
    <t>校正、消耗品、他</t>
    <rPh sb="0" eb="2">
      <t>コウセイ</t>
    </rPh>
    <rPh sb="3" eb="6">
      <t>ショウモウヒン</t>
    </rPh>
    <rPh sb="7" eb="8">
      <t>ホカ</t>
    </rPh>
    <phoneticPr fontId="1"/>
  </si>
  <si>
    <t>自動機用パーツ、設備交換部品</t>
    <rPh sb="8" eb="10">
      <t>セツビ</t>
    </rPh>
    <rPh sb="10" eb="12">
      <t>コウカン</t>
    </rPh>
    <rPh sb="12" eb="14">
      <t>ブヒン</t>
    </rPh>
    <phoneticPr fontId="1"/>
  </si>
  <si>
    <t>工具、消耗品</t>
    <rPh sb="0" eb="2">
      <t>コウグ</t>
    </rPh>
    <rPh sb="3" eb="6">
      <t>ショウモウヒン</t>
    </rPh>
    <phoneticPr fontId="1"/>
  </si>
  <si>
    <t>大型成形用ヒーター</t>
    <rPh sb="0" eb="2">
      <t>オオガタ</t>
    </rPh>
    <rPh sb="2" eb="5">
      <t>セイケイヨウ</t>
    </rPh>
    <phoneticPr fontId="1"/>
  </si>
  <si>
    <t>成形金型ダイセット</t>
    <rPh sb="0" eb="2">
      <t>セイケイ</t>
    </rPh>
    <rPh sb="2" eb="4">
      <t>カナガタ</t>
    </rPh>
    <phoneticPr fontId="1"/>
  </si>
  <si>
    <t>プレス機点検、他</t>
    <rPh sb="3" eb="4">
      <t>キ</t>
    </rPh>
    <rPh sb="4" eb="6">
      <t>テンケン</t>
    </rPh>
    <rPh sb="7" eb="8">
      <t>ホカ</t>
    </rPh>
    <phoneticPr fontId="1"/>
  </si>
  <si>
    <t>金型パーツ、消耗品、他</t>
    <rPh sb="0" eb="2">
      <t>カナガタ</t>
    </rPh>
    <rPh sb="6" eb="9">
      <t>ショウモウヒン</t>
    </rPh>
    <rPh sb="10" eb="11">
      <t>ホカ</t>
    </rPh>
    <phoneticPr fontId="1"/>
  </si>
  <si>
    <t>手袋、他</t>
    <rPh sb="0" eb="2">
      <t>テブクロ</t>
    </rPh>
    <rPh sb="3" eb="4">
      <t>ホカ</t>
    </rPh>
    <phoneticPr fontId="1"/>
  </si>
  <si>
    <t>設備備品、自動機部品</t>
    <rPh sb="0" eb="2">
      <t>セツビ</t>
    </rPh>
    <rPh sb="2" eb="4">
      <t>ビヒン</t>
    </rPh>
    <rPh sb="5" eb="8">
      <t>ジドウキ</t>
    </rPh>
    <rPh sb="8" eb="10">
      <t>ブヒン</t>
    </rPh>
    <phoneticPr fontId="1"/>
  </si>
  <si>
    <t>A1100-H24</t>
  </si>
  <si>
    <t>MAアルミニウム㈱</t>
    <phoneticPr fontId="1"/>
  </si>
  <si>
    <t>㈱プロテリアル金属</t>
    <phoneticPr fontId="1"/>
  </si>
  <si>
    <t>古川電工㈱</t>
    <rPh sb="0" eb="2">
      <t>フルカワ</t>
    </rPh>
    <rPh sb="2" eb="4">
      <t>デンコウ</t>
    </rPh>
    <phoneticPr fontId="1"/>
  </si>
  <si>
    <t>片木アルミ</t>
    <phoneticPr fontId="1"/>
  </si>
  <si>
    <t>大同特殊鋼㈱</t>
    <rPh sb="0" eb="2">
      <t>ダイドウ</t>
    </rPh>
    <rPh sb="2" eb="5">
      <t>トクシュコウ</t>
    </rPh>
    <phoneticPr fontId="1"/>
  </si>
  <si>
    <t>ＣＳＡＣ(台湾メーカー)</t>
    <phoneticPr fontId="1"/>
  </si>
  <si>
    <t>㈱東電化</t>
    <phoneticPr fontId="1"/>
  </si>
  <si>
    <t>（株）ミヤタ</t>
    <phoneticPr fontId="1"/>
  </si>
  <si>
    <t>東栄電化工業㈱</t>
    <rPh sb="0" eb="2">
      <t>トウエイ</t>
    </rPh>
    <rPh sb="2" eb="4">
      <t>デンカ</t>
    </rPh>
    <rPh sb="4" eb="6">
      <t>コウギョウ</t>
    </rPh>
    <phoneticPr fontId="1"/>
  </si>
  <si>
    <t>日本ケミカル電子㈱</t>
    <phoneticPr fontId="1"/>
  </si>
  <si>
    <t>日本ケミカル電子㈱</t>
    <rPh sb="0" eb="2">
      <t>ニホン</t>
    </rPh>
    <rPh sb="6" eb="8">
      <t>デンシ</t>
    </rPh>
    <phoneticPr fontId="1"/>
  </si>
  <si>
    <t>ユケン工業㈱</t>
    <rPh sb="3" eb="5">
      <t>コウギョウ</t>
    </rPh>
    <phoneticPr fontId="1"/>
  </si>
  <si>
    <t>東ソー株式会社</t>
    <rPh sb="0" eb="1">
      <t>トウ</t>
    </rPh>
    <rPh sb="3" eb="7">
      <t>カブシキガイシャ</t>
    </rPh>
    <phoneticPr fontId="1"/>
  </si>
  <si>
    <t>新日本化成㈱</t>
    <rPh sb="0" eb="3">
      <t>シンニホン</t>
    </rPh>
    <rPh sb="3" eb="5">
      <t>カセイ</t>
    </rPh>
    <phoneticPr fontId="1"/>
  </si>
  <si>
    <t>（株）ミスミ</t>
    <phoneticPr fontId="1"/>
  </si>
  <si>
    <t>（株）ミスミ</t>
    <phoneticPr fontId="1"/>
  </si>
  <si>
    <t>東海鋼鉄㈱</t>
    <phoneticPr fontId="1"/>
  </si>
  <si>
    <t>東海鋼鉄㈱</t>
    <rPh sb="0" eb="2">
      <t>トウカイ</t>
    </rPh>
    <rPh sb="2" eb="3">
      <t>ハガネ</t>
    </rPh>
    <rPh sb="3" eb="4">
      <t>テツ</t>
    </rPh>
    <phoneticPr fontId="1"/>
  </si>
  <si>
    <t>藤沢紙工㈱</t>
    <phoneticPr fontId="1"/>
  </si>
  <si>
    <t>藤沢紙工㈱</t>
    <rPh sb="0" eb="2">
      <t>フジサワ</t>
    </rPh>
    <rPh sb="2" eb="4">
      <t>シコウ</t>
    </rPh>
    <phoneticPr fontId="1"/>
  </si>
  <si>
    <t>パンチ工業　㈱</t>
    <rPh sb="3" eb="5">
      <t>コウギョウ</t>
    </rPh>
    <phoneticPr fontId="1"/>
  </si>
  <si>
    <t>㈱橋本工商</t>
    <rPh sb="1" eb="3">
      <t>ハシモト</t>
    </rPh>
    <rPh sb="3" eb="5">
      <t>コウショウ</t>
    </rPh>
    <phoneticPr fontId="1"/>
  </si>
  <si>
    <t>東京プロト㈱</t>
    <phoneticPr fontId="1"/>
  </si>
  <si>
    <t>東京プロト㈱</t>
    <rPh sb="0" eb="2">
      <t>トウキョウ</t>
    </rPh>
    <phoneticPr fontId="1"/>
  </si>
  <si>
    <t>日興運送（株）</t>
    <phoneticPr fontId="1"/>
  </si>
  <si>
    <t>日本アレックス㈱</t>
    <phoneticPr fontId="1"/>
  </si>
  <si>
    <t>日本アレックス㈱</t>
    <rPh sb="0" eb="2">
      <t>ニホン</t>
    </rPh>
    <phoneticPr fontId="1"/>
  </si>
  <si>
    <t>タイヨー㈱</t>
    <phoneticPr fontId="1"/>
  </si>
  <si>
    <t>タイヨー㈱</t>
    <phoneticPr fontId="1"/>
  </si>
  <si>
    <t>ミドリ安全厚木㈱</t>
    <phoneticPr fontId="1"/>
  </si>
  <si>
    <t>ミドリ安全厚木㈱</t>
    <rPh sb="3" eb="5">
      <t>アンゼン</t>
    </rPh>
    <rPh sb="5" eb="7">
      <t>アツギ</t>
    </rPh>
    <phoneticPr fontId="1"/>
  </si>
  <si>
    <t>リヒト精光（株）</t>
    <rPh sb="3" eb="4">
      <t>セイ</t>
    </rPh>
    <rPh sb="4" eb="5">
      <t>ヒカリ</t>
    </rPh>
    <rPh sb="5" eb="8">
      <t>カブ</t>
    </rPh>
    <phoneticPr fontId="1"/>
  </si>
  <si>
    <t>新共立化工㈱</t>
    <phoneticPr fontId="1"/>
  </si>
  <si>
    <t>新共立化工㈱</t>
    <rPh sb="0" eb="1">
      <t>シン</t>
    </rPh>
    <rPh sb="1" eb="3">
      <t>キョウリツ</t>
    </rPh>
    <rPh sb="3" eb="5">
      <t>カコウ</t>
    </rPh>
    <phoneticPr fontId="1"/>
  </si>
  <si>
    <t>㈱モノタロウ</t>
    <phoneticPr fontId="1"/>
  </si>
  <si>
    <t>㈱モノタロウ</t>
    <phoneticPr fontId="1"/>
  </si>
  <si>
    <t>双葉電子工業（株）</t>
    <phoneticPr fontId="1"/>
  </si>
  <si>
    <t>双葉電子工業（株）</t>
    <rPh sb="0" eb="2">
      <t>フタバ</t>
    </rPh>
    <rPh sb="2" eb="4">
      <t>デンシ</t>
    </rPh>
    <rPh sb="4" eb="6">
      <t>コウギョウ</t>
    </rPh>
    <rPh sb="6" eb="9">
      <t>カブ</t>
    </rPh>
    <phoneticPr fontId="1"/>
  </si>
  <si>
    <t>トヨタエルアンドエフ</t>
    <phoneticPr fontId="1"/>
  </si>
  <si>
    <t>トヨタエルアンドエフ</t>
    <phoneticPr fontId="1"/>
  </si>
  <si>
    <t>イースタン技研㈱</t>
    <phoneticPr fontId="1"/>
  </si>
  <si>
    <t>イースタン技研㈱</t>
    <rPh sb="5" eb="7">
      <t>ギケン</t>
    </rPh>
    <phoneticPr fontId="1"/>
  </si>
  <si>
    <t>東京ワイジェーエス販売</t>
    <phoneticPr fontId="1"/>
  </si>
  <si>
    <t>東京ワイジェーエス販売</t>
    <rPh sb="0" eb="2">
      <t>トウキョウ</t>
    </rPh>
    <rPh sb="9" eb="11">
      <t>ハンバイ</t>
    </rPh>
    <phoneticPr fontId="1"/>
  </si>
  <si>
    <t>㈱共立合金製作所</t>
    <phoneticPr fontId="1"/>
  </si>
  <si>
    <t>㈱共立合金製作所</t>
    <rPh sb="1" eb="3">
      <t>キョウリツ</t>
    </rPh>
    <rPh sb="3" eb="5">
      <t>ゴウキン</t>
    </rPh>
    <rPh sb="5" eb="8">
      <t>セイサクショ</t>
    </rPh>
    <phoneticPr fontId="1"/>
  </si>
  <si>
    <t>㈱マルアイ</t>
    <phoneticPr fontId="1"/>
  </si>
  <si>
    <t>㈱マルアイ</t>
    <phoneticPr fontId="1"/>
  </si>
  <si>
    <t>日本工作油（株）</t>
    <phoneticPr fontId="1"/>
  </si>
  <si>
    <t>日本工作油（株）</t>
    <rPh sb="0" eb="2">
      <t>ニホン</t>
    </rPh>
    <rPh sb="2" eb="4">
      <t>コウサク</t>
    </rPh>
    <rPh sb="4" eb="5">
      <t>ユ</t>
    </rPh>
    <rPh sb="5" eb="8">
      <t>カブ</t>
    </rPh>
    <phoneticPr fontId="1"/>
  </si>
  <si>
    <t>ファナック㈱</t>
    <phoneticPr fontId="1"/>
  </si>
  <si>
    <t>ファナック㈱</t>
    <phoneticPr fontId="1"/>
  </si>
  <si>
    <t>㈱アイコー</t>
    <phoneticPr fontId="1"/>
  </si>
  <si>
    <t>㈱アイコー</t>
    <phoneticPr fontId="1"/>
  </si>
  <si>
    <t>エィテーケィタカシノ㈱</t>
    <phoneticPr fontId="1"/>
  </si>
  <si>
    <t>エィテーケィタカシノ㈱</t>
    <phoneticPr fontId="1"/>
  </si>
  <si>
    <t>東京フィルター販売㈱</t>
    <phoneticPr fontId="1"/>
  </si>
  <si>
    <t>東京フィルター販売㈱</t>
    <rPh sb="0" eb="2">
      <t>トウキョウ</t>
    </rPh>
    <rPh sb="7" eb="9">
      <t>ハンバイ</t>
    </rPh>
    <phoneticPr fontId="1"/>
  </si>
  <si>
    <t>大和石油㈱</t>
    <phoneticPr fontId="1"/>
  </si>
  <si>
    <t>大和石油㈱</t>
    <rPh sb="0" eb="2">
      <t>ダイワ</t>
    </rPh>
    <rPh sb="2" eb="4">
      <t>セキユ</t>
    </rPh>
    <phoneticPr fontId="1"/>
  </si>
  <si>
    <t>㈱包研</t>
    <phoneticPr fontId="1"/>
  </si>
  <si>
    <t>㈱包研</t>
    <rPh sb="1" eb="2">
      <t>ホウ</t>
    </rPh>
    <rPh sb="2" eb="3">
      <t>ケン</t>
    </rPh>
    <phoneticPr fontId="1"/>
  </si>
  <si>
    <t>(㈱ツ－ルメ－ルクラブ</t>
    <phoneticPr fontId="1"/>
  </si>
  <si>
    <t>(㈱ツ－ルメ－ルクラブ</t>
    <phoneticPr fontId="1"/>
  </si>
  <si>
    <t>東横化学 ㈱</t>
    <phoneticPr fontId="1"/>
  </si>
  <si>
    <t>東横化学 ㈱</t>
    <rPh sb="0" eb="2">
      <t>トウヨコ</t>
    </rPh>
    <rPh sb="2" eb="4">
      <t>カガク</t>
    </rPh>
    <phoneticPr fontId="1"/>
  </si>
  <si>
    <t>タツタ環境分析センター</t>
    <rPh sb="3" eb="5">
      <t>カンキョウ</t>
    </rPh>
    <rPh sb="5" eb="7">
      <t>ブンセキ</t>
    </rPh>
    <phoneticPr fontId="1"/>
  </si>
  <si>
    <t>㈱コードー</t>
    <phoneticPr fontId="1"/>
  </si>
  <si>
    <t>㈱コードー</t>
    <phoneticPr fontId="1"/>
  </si>
  <si>
    <t>ソマックス㈱</t>
    <phoneticPr fontId="1"/>
  </si>
  <si>
    <t>ソマックス㈱</t>
    <phoneticPr fontId="1"/>
  </si>
  <si>
    <t>㈱山田ドビー</t>
    <rPh sb="1" eb="3">
      <t>ヤマダ</t>
    </rPh>
    <phoneticPr fontId="1"/>
  </si>
  <si>
    <t>㈱湘南ワイパーサプライ</t>
    <phoneticPr fontId="1"/>
  </si>
  <si>
    <t>コマツ産機㈱</t>
    <phoneticPr fontId="1"/>
  </si>
  <si>
    <t>コマツ産機㈱</t>
    <phoneticPr fontId="1"/>
  </si>
  <si>
    <t>オルガノ㈱</t>
    <phoneticPr fontId="1"/>
  </si>
  <si>
    <t>（株）テラオカ神奈川西支店</t>
    <phoneticPr fontId="1"/>
  </si>
  <si>
    <t>㈱　トミタ</t>
    <phoneticPr fontId="1"/>
  </si>
  <si>
    <t>テルヤ電機 (株)</t>
    <rPh sb="3" eb="5">
      <t>デンキ</t>
    </rPh>
    <rPh sb="6" eb="9">
      <t>カブ</t>
    </rPh>
    <phoneticPr fontId="1"/>
  </si>
  <si>
    <t>（株）イイダ</t>
    <phoneticPr fontId="1"/>
  </si>
  <si>
    <t>（株）イイダ</t>
    <phoneticPr fontId="1"/>
  </si>
  <si>
    <t>㈱関東機工</t>
    <rPh sb="1" eb="3">
      <t>カントウ</t>
    </rPh>
    <rPh sb="3" eb="5">
      <t>キコウ</t>
    </rPh>
    <phoneticPr fontId="1"/>
  </si>
  <si>
    <t>アルミネ</t>
    <phoneticPr fontId="1"/>
  </si>
  <si>
    <t>アルミネ</t>
    <phoneticPr fontId="2"/>
  </si>
  <si>
    <t>黒川</t>
    <rPh sb="0" eb="2">
      <t>クロカワ</t>
    </rPh>
    <phoneticPr fontId="1"/>
  </si>
  <si>
    <t>JICQA</t>
    <phoneticPr fontId="5"/>
  </si>
  <si>
    <t>GCC</t>
    <phoneticPr fontId="1"/>
  </si>
  <si>
    <t>-</t>
    <phoneticPr fontId="1"/>
  </si>
  <si>
    <t>東莞美対精密電子有限公司</t>
    <phoneticPr fontId="1"/>
  </si>
  <si>
    <t>MITUTOYO原器の構成、エンボステープ</t>
    <phoneticPr fontId="2"/>
  </si>
  <si>
    <t>測定器、エンボステープ</t>
    <rPh sb="0" eb="3">
      <t>ソクテイキ</t>
    </rPh>
    <phoneticPr fontId="2"/>
  </si>
  <si>
    <t>浅賀・長井</t>
    <rPh sb="0" eb="2">
      <t>アサガ</t>
    </rPh>
    <phoneticPr fontId="1"/>
  </si>
  <si>
    <t xml:space="preserve"> &lt;asaga@tomitaj.co.jp&gt; 、&lt;y-nagai@tomitaj.co.jp&gt;</t>
    <phoneticPr fontId="1"/>
  </si>
  <si>
    <t xml:space="preserve">神奈川県伊勢原市高森3-1-4                 </t>
    <phoneticPr fontId="1"/>
  </si>
  <si>
    <t>0463-91-3250</t>
    <phoneticPr fontId="1"/>
  </si>
  <si>
    <t xml:space="preserve">0463-91-3256  </t>
  </si>
  <si>
    <t>神奈川県厚木市栄町2-8-8</t>
  </si>
  <si>
    <t>神奈川県厚木市妻田西1-31-40</t>
  </si>
  <si>
    <t>243－0815</t>
    <phoneticPr fontId="1"/>
  </si>
  <si>
    <t>046－223－3401</t>
    <phoneticPr fontId="1"/>
  </si>
  <si>
    <t>046-223－2474</t>
  </si>
  <si>
    <t>松井産業第5ビル103</t>
  </si>
  <si>
    <t>kurokawa-a@almine.c.jp</t>
    <phoneticPr fontId="1"/>
  </si>
  <si>
    <t>東京都千代田区大手町2-1-1</t>
  </si>
  <si>
    <t>大成大手町ビル14階</t>
  </si>
  <si>
    <t>100-0004</t>
  </si>
  <si>
    <t>03-3245-1700</t>
  </si>
  <si>
    <t>03-3245-1730</t>
  </si>
  <si>
    <t>神奈川県横浜市泉区上飯田町286番地1</t>
    <phoneticPr fontId="1"/>
  </si>
  <si>
    <t>245-0018</t>
    <phoneticPr fontId="1"/>
  </si>
  <si>
    <t>愛知県一宮市玉野下新田35</t>
    <phoneticPr fontId="1"/>
  </si>
  <si>
    <t>494-8511</t>
    <phoneticPr fontId="1"/>
  </si>
  <si>
    <t>050-1790-6800</t>
    <phoneticPr fontId="1"/>
  </si>
  <si>
    <t>神奈川県茅ヶ崎市茅ヶ崎3丁目3番5号</t>
    <phoneticPr fontId="1"/>
  </si>
  <si>
    <t>東邦チタニウム(株)内</t>
    <phoneticPr fontId="1"/>
  </si>
  <si>
    <t>253-0041</t>
    <phoneticPr fontId="1"/>
  </si>
  <si>
    <t>神奈川県相模原市中央区宮下2-2-17</t>
    <phoneticPr fontId="1"/>
  </si>
  <si>
    <t>252-0212</t>
    <phoneticPr fontId="1"/>
  </si>
  <si>
    <t>042-772-0345</t>
    <phoneticPr fontId="1"/>
  </si>
  <si>
    <t>042-773-7668</t>
    <phoneticPr fontId="1"/>
  </si>
  <si>
    <t>㈱菱光社</t>
    <phoneticPr fontId="1"/>
  </si>
  <si>
    <t>Nikon測定器</t>
    <rPh sb="5" eb="8">
      <t>ソクテイキ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</si>
</sst>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9" formatCode="&quot;¥&quot;#,##0;[Red]&quot;¥&quot;\-#,##0"/>
    <numFmt numFmtId="181" formatCode="0_);[Red]\(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</font>
    <font>
      <b/>
      <sz val="20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9"/>
      <color rgb="FF121212"/>
      <name val="メイリオ"/>
      <family val="3"/>
      <charset val="128"/>
    </font>
    <font>
      <b/>
      <sz val="9"/>
      <color indexed="81"/>
      <name val="MS P ゴシック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i/>
      <u/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rgb="FF00000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16" fillId="0" borderId="0" applyNumberForma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0" borderId="1" xfId="1" applyBorder="1" applyAlignment="1">
      <alignment horizontal="center"/>
    </xf>
    <xf numFmtId="0" fontId="0" fillId="0" borderId="1" xfId="1" applyFont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4" fillId="3" borderId="1" xfId="1" applyFill="1" applyBorder="1" applyAlignment="1">
      <alignment horizontal="center"/>
    </xf>
    <xf numFmtId="0" fontId="4" fillId="0" borderId="0" xfId="1" applyAlignment="1">
      <alignment horizontal="center"/>
    </xf>
    <xf numFmtId="0" fontId="4" fillId="0" borderId="1" xfId="1" applyBorder="1"/>
    <xf numFmtId="0" fontId="7" fillId="0" borderId="1" xfId="1" applyFont="1" applyBorder="1" applyAlignment="1">
      <alignment horizontal="center"/>
    </xf>
    <xf numFmtId="0" fontId="4" fillId="0" borderId="0" xfId="1"/>
    <xf numFmtId="0" fontId="0" fillId="0" borderId="1" xfId="1" applyFont="1" applyBorder="1"/>
    <xf numFmtId="14" fontId="4" fillId="0" borderId="1" xfId="1" applyNumberFormat="1" applyBorder="1"/>
    <xf numFmtId="6" fontId="4" fillId="2" borderId="1" xfId="1" applyNumberFormat="1" applyFill="1" applyBorder="1"/>
    <xf numFmtId="0" fontId="8" fillId="0" borderId="1" xfId="1" applyFont="1" applyBorder="1"/>
    <xf numFmtId="0" fontId="9" fillId="0" borderId="1" xfId="1" applyFont="1" applyBorder="1"/>
    <xf numFmtId="0" fontId="0" fillId="0" borderId="1" xfId="1" applyFont="1" applyBorder="1" applyAlignment="1">
      <alignment horizontal="right"/>
    </xf>
    <xf numFmtId="0" fontId="10" fillId="4" borderId="1" xfId="1" applyFont="1" applyFill="1" applyBorder="1"/>
    <xf numFmtId="0" fontId="10" fillId="4" borderId="1" xfId="1" applyFont="1" applyFill="1" applyBorder="1" applyAlignment="1">
      <alignment horizontal="center"/>
    </xf>
    <xf numFmtId="14" fontId="11" fillId="0" borderId="1" xfId="1" applyNumberFormat="1" applyFont="1" applyBorder="1"/>
    <xf numFmtId="0" fontId="0" fillId="0" borderId="1" xfId="0" applyBorder="1">
      <alignment vertical="center"/>
    </xf>
    <xf numFmtId="0" fontId="0" fillId="0" borderId="1" xfId="0" applyBorder="1" applyAlignment="1"/>
    <xf numFmtId="14" fontId="0" fillId="0" borderId="1" xfId="0" applyNumberFormat="1" applyBorder="1">
      <alignment vertical="center"/>
    </xf>
    <xf numFmtId="0" fontId="12" fillId="0" borderId="1" xfId="1" applyFont="1" applyBorder="1"/>
    <xf numFmtId="0" fontId="9" fillId="0" borderId="1" xfId="1" applyFont="1" applyBorder="1" applyAlignment="1">
      <alignment horizontal="center"/>
    </xf>
    <xf numFmtId="0" fontId="13" fillId="0" borderId="1" xfId="1" applyFont="1" applyBorder="1"/>
    <xf numFmtId="0" fontId="14" fillId="0" borderId="1" xfId="1" applyFont="1" applyBorder="1" applyAlignment="1">
      <alignment horizontal="center"/>
    </xf>
    <xf numFmtId="0" fontId="10" fillId="0" borderId="1" xfId="1" applyFont="1" applyBorder="1"/>
    <xf numFmtId="0" fontId="10" fillId="0" borderId="1" xfId="1" applyFont="1" applyBorder="1" applyAlignment="1">
      <alignment horizontal="center"/>
    </xf>
    <xf numFmtId="0" fontId="6" fillId="0" borderId="1" xfId="1" applyFont="1" applyBorder="1"/>
    <xf numFmtId="0" fontId="4" fillId="0" borderId="1" xfId="1" applyBorder="1" applyAlignment="1">
      <alignment vertical="center"/>
    </xf>
    <xf numFmtId="0" fontId="4" fillId="0" borderId="1" xfId="1" applyBorder="1" applyAlignment="1">
      <alignment horizontal="center" vertical="center"/>
    </xf>
    <xf numFmtId="14" fontId="12" fillId="0" borderId="1" xfId="1" applyNumberFormat="1" applyFont="1" applyBorder="1"/>
    <xf numFmtId="14" fontId="0" fillId="0" borderId="1" xfId="1" applyNumberFormat="1" applyFont="1" applyBorder="1"/>
    <xf numFmtId="14" fontId="6" fillId="0" borderId="1" xfId="1" applyNumberFormat="1" applyFont="1" applyBorder="1"/>
    <xf numFmtId="14" fontId="10" fillId="5" borderId="1" xfId="1" applyNumberFormat="1" applyFont="1" applyFill="1" applyBorder="1"/>
    <xf numFmtId="0" fontId="10" fillId="5" borderId="1" xfId="1" applyFont="1" applyFill="1" applyBorder="1" applyAlignment="1">
      <alignment horizontal="center"/>
    </xf>
    <xf numFmtId="14" fontId="0" fillId="0" borderId="0" xfId="0" applyNumberFormat="1" applyAlignment="1">
      <alignment horizontal="left" vertical="center"/>
    </xf>
    <xf numFmtId="0" fontId="16" fillId="0" borderId="1" xfId="2" applyBorder="1" applyAlignment="1">
      <alignment horizontal="center" vertical="center"/>
    </xf>
    <xf numFmtId="0" fontId="16" fillId="0" borderId="1" xfId="2" applyBorder="1" applyAlignment="1">
      <alignment horizontal="center"/>
    </xf>
    <xf numFmtId="0" fontId="4" fillId="0" borderId="1" xfId="1" applyBorder="1" applyAlignment="1">
      <alignment horizontal="left"/>
    </xf>
    <xf numFmtId="0" fontId="4" fillId="0" borderId="1" xfId="1" applyBorder="1" applyAlignment="1">
      <alignment shrinkToFit="1"/>
    </xf>
    <xf numFmtId="14" fontId="0" fillId="0" borderId="1" xfId="1" applyNumberFormat="1" applyFont="1" applyBorder="1" applyAlignment="1">
      <alignment horizontal="center" shrinkToFit="1"/>
    </xf>
    <xf numFmtId="0" fontId="0" fillId="0" borderId="1" xfId="1" applyFont="1" applyBorder="1" applyAlignment="1">
      <alignment horizontal="center" shrinkToFit="1"/>
    </xf>
    <xf numFmtId="14" fontId="17" fillId="0" borderId="1" xfId="1" applyNumberFormat="1" applyFont="1" applyBorder="1" applyAlignment="1">
      <alignment horizontal="center" shrinkToFit="1"/>
    </xf>
    <xf numFmtId="0" fontId="19" fillId="5" borderId="2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19" fillId="5" borderId="0" xfId="0" applyFont="1" applyFill="1">
      <alignment vertical="center"/>
    </xf>
    <xf numFmtId="0" fontId="19" fillId="5" borderId="1" xfId="0" applyFont="1" applyFill="1" applyBorder="1">
      <alignment vertical="center"/>
    </xf>
    <xf numFmtId="0" fontId="19" fillId="5" borderId="1" xfId="0" applyFont="1" applyFill="1" applyBorder="1" applyAlignment="1">
      <alignment horizontal="center" vertical="center"/>
    </xf>
    <xf numFmtId="179" fontId="19" fillId="5" borderId="1" xfId="4" applyFont="1" applyFill="1" applyBorder="1">
      <alignment vertical="center"/>
    </xf>
    <xf numFmtId="14" fontId="19" fillId="5" borderId="1" xfId="0" applyNumberFormat="1" applyFont="1" applyFill="1" applyBorder="1">
      <alignment vertical="center"/>
    </xf>
    <xf numFmtId="0" fontId="20" fillId="5" borderId="1" xfId="0" applyFont="1" applyFill="1" applyBorder="1">
      <alignment vertical="center"/>
    </xf>
    <xf numFmtId="38" fontId="19" fillId="5" borderId="1" xfId="3" applyFont="1" applyFill="1" applyBorder="1">
      <alignment vertical="center"/>
    </xf>
    <xf numFmtId="181" fontId="19" fillId="5" borderId="1" xfId="0" applyNumberFormat="1" applyFont="1" applyFill="1" applyBorder="1">
      <alignment vertical="center"/>
    </xf>
    <xf numFmtId="0" fontId="21" fillId="5" borderId="1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14" fontId="19" fillId="5" borderId="6" xfId="0" applyNumberFormat="1" applyFont="1" applyFill="1" applyBorder="1">
      <alignment vertical="center"/>
    </xf>
    <xf numFmtId="181" fontId="19" fillId="5" borderId="6" xfId="0" applyNumberFormat="1" applyFont="1" applyFill="1" applyBorder="1">
      <alignment vertical="center"/>
    </xf>
    <xf numFmtId="0" fontId="21" fillId="5" borderId="6" xfId="0" applyFont="1" applyFill="1" applyBorder="1" applyAlignment="1">
      <alignment horizontal="center" vertical="center"/>
    </xf>
    <xf numFmtId="38" fontId="19" fillId="5" borderId="6" xfId="3" applyFont="1" applyFill="1" applyBorder="1">
      <alignment vertical="center"/>
    </xf>
    <xf numFmtId="179" fontId="19" fillId="5" borderId="6" xfId="4" applyFont="1" applyFill="1" applyBorder="1">
      <alignment vertical="center"/>
    </xf>
    <xf numFmtId="0" fontId="22" fillId="6" borderId="5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wrapText="1"/>
    </xf>
    <xf numFmtId="38" fontId="22" fillId="6" borderId="5" xfId="3" applyFont="1" applyFill="1" applyBorder="1" applyAlignment="1">
      <alignment horizontal="center" vertical="center"/>
    </xf>
    <xf numFmtId="179" fontId="22" fillId="6" borderId="5" xfId="4" applyFont="1" applyFill="1" applyBorder="1" applyAlignment="1">
      <alignment horizontal="center" vertical="center"/>
    </xf>
    <xf numFmtId="14" fontId="23" fillId="5" borderId="0" xfId="0" applyNumberFormat="1" applyFont="1" applyFill="1" applyAlignment="1">
      <alignment horizontal="left" vertical="center"/>
    </xf>
    <xf numFmtId="0" fontId="24" fillId="5" borderId="0" xfId="0" applyFont="1" applyFill="1">
      <alignment vertical="center"/>
    </xf>
    <xf numFmtId="0" fontId="19" fillId="7" borderId="6" xfId="0" applyFont="1" applyFill="1" applyBorder="1">
      <alignment vertical="center"/>
    </xf>
    <xf numFmtId="0" fontId="19" fillId="7" borderId="1" xfId="0" applyFont="1" applyFill="1" applyBorder="1">
      <alignment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7" borderId="1" xfId="0" applyFont="1" applyFill="1" applyBorder="1">
      <alignment vertical="center"/>
    </xf>
    <xf numFmtId="0" fontId="19" fillId="5" borderId="4" xfId="0" applyFont="1" applyFill="1" applyBorder="1" applyAlignment="1">
      <alignment horizontal="center" vertical="center"/>
    </xf>
    <xf numFmtId="0" fontId="4" fillId="5" borderId="1" xfId="1" applyFill="1" applyBorder="1"/>
    <xf numFmtId="14" fontId="10" fillId="0" borderId="1" xfId="1" applyNumberFormat="1" applyFont="1" applyBorder="1"/>
    <xf numFmtId="6" fontId="4" fillId="2" borderId="1" xfId="1" applyNumberFormat="1" applyFill="1" applyBorder="1" applyAlignment="1">
      <alignment horizontal="right"/>
    </xf>
    <xf numFmtId="0" fontId="25" fillId="0" borderId="0" xfId="0" applyFont="1">
      <alignment vertical="center"/>
    </xf>
    <xf numFmtId="0" fontId="25" fillId="0" borderId="1" xfId="0" applyFont="1" applyBorder="1">
      <alignment vertical="center"/>
    </xf>
  </cellXfs>
  <cellStyles count="5">
    <cellStyle name="ハイパーリンク" xfId="2" builtinId="8"/>
    <cellStyle name="桁区切り" xfId="3" builtinId="6"/>
    <cellStyle name="通貨 2" xfId="4" xr:uid="{98CB9569-73EF-41D9-B22E-A80823F60EA9}"/>
    <cellStyle name="標準" xfId="0" builtinId="0"/>
    <cellStyle name="標準 1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263238</xdr:colOff>
      <xdr:row>2</xdr:row>
      <xdr:rowOff>85978</xdr:rowOff>
    </xdr:from>
    <xdr:to>
      <xdr:col>26</xdr:col>
      <xdr:colOff>874570</xdr:colOff>
      <xdr:row>2</xdr:row>
      <xdr:rowOff>767291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98845" y="684692"/>
          <a:ext cx="611332" cy="6813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302202</xdr:colOff>
      <xdr:row>1</xdr:row>
      <xdr:rowOff>344631</xdr:rowOff>
    </xdr:from>
    <xdr:to>
      <xdr:col>27</xdr:col>
      <xdr:colOff>1091045</xdr:colOff>
      <xdr:row>3</xdr:row>
      <xdr:rowOff>163532</xdr:rowOff>
    </xdr:to>
    <xdr:pic>
      <xdr:nvPicPr>
        <xdr:cNvPr id="3" name="図 79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67202" y="587086"/>
          <a:ext cx="788843" cy="9680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.furuya@maruai.co.jp" TargetMode="External"/><Relationship Id="rId13" Type="http://schemas.openxmlformats.org/officeDocument/2006/relationships/hyperlink" Target="mailto:takahei@kantojapan.com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mailto:n-okada@sanmatu.co.jp" TargetMode="External"/><Relationship Id="rId7" Type="http://schemas.openxmlformats.org/officeDocument/2006/relationships/hyperlink" Target="mailto:toyama@nalex.co.jp" TargetMode="External"/><Relationship Id="rId12" Type="http://schemas.openxmlformats.org/officeDocument/2006/relationships/hyperlink" Target="mailto:tokumori-hayashi@seiki-hot.com%3E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hirase-keito@hanwa.co.jp" TargetMode="External"/><Relationship Id="rId16" Type="http://schemas.openxmlformats.org/officeDocument/2006/relationships/hyperlink" Target="mailto:kurokawa-a@almine.c.jp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yusuke.yoshida@tokyozairyo.co.jp" TargetMode="External"/><Relationship Id="rId6" Type="http://schemas.openxmlformats.org/officeDocument/2006/relationships/hyperlink" Target="mailto:tauchi@tokyoproto.co.jp" TargetMode="External"/><Relationship Id="rId11" Type="http://schemas.openxmlformats.org/officeDocument/2006/relationships/hyperlink" Target="mailto:shunji.kubo@kodo.co.jp" TargetMode="External"/><Relationship Id="rId5" Type="http://schemas.openxmlformats.org/officeDocument/2006/relationships/hyperlink" Target="mailto:chk-nakamoto@jcom.home.ne.jp" TargetMode="External"/><Relationship Id="rId15" Type="http://schemas.openxmlformats.org/officeDocument/2006/relationships/hyperlink" Target="mailto:kurokawa-a@almine.c.jp" TargetMode="External"/><Relationship Id="rId10" Type="http://schemas.openxmlformats.org/officeDocument/2006/relationships/hyperlink" Target="mailto:syohji@tfh.co.jp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yo_kobayashi@cleanvy-jp.com" TargetMode="External"/><Relationship Id="rId9" Type="http://schemas.openxmlformats.org/officeDocument/2006/relationships/hyperlink" Target="mailto:order@nihon-kohsakuyu.co.jp" TargetMode="External"/><Relationship Id="rId14" Type="http://schemas.openxmlformats.org/officeDocument/2006/relationships/hyperlink" Target="mailto:j_kamogawa@teruyadenki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9"/>
  <sheetViews>
    <sheetView tabSelected="1" zoomScale="85" zoomScaleNormal="85" workbookViewId="0">
      <pane xSplit="4" ySplit="5" topLeftCell="E58" activePane="bottomRight" state="frozen"/>
      <selection pane="topRight" activeCell="E1" sqref="E1"/>
      <selection pane="bottomLeft" activeCell="A6" sqref="A6"/>
      <selection pane="bottomRight" activeCell="I61" sqref="I61"/>
    </sheetView>
  </sheetViews>
  <sheetFormatPr defaultRowHeight="18.75"/>
  <cols>
    <col min="1" max="1" width="5.25" customWidth="1"/>
    <col min="2" max="2" width="5.75" customWidth="1"/>
    <col min="3" max="3" width="26.875" bestFit="1" customWidth="1"/>
    <col min="4" max="4" width="31.5" customWidth="1"/>
    <col min="5" max="5" width="10.75" customWidth="1"/>
    <col min="6" max="6" width="10.625" customWidth="1"/>
    <col min="7" max="8" width="11.125" customWidth="1"/>
    <col min="9" max="10" width="19.625" customWidth="1"/>
    <col min="11" max="11" width="19.625" style="1" customWidth="1"/>
    <col min="12" max="13" width="9" customWidth="1"/>
    <col min="14" max="14" width="11.375" customWidth="1"/>
    <col min="15" max="15" width="15" customWidth="1"/>
    <col min="16" max="16" width="16.75" customWidth="1"/>
    <col min="17" max="17" width="18.375" customWidth="1"/>
    <col min="18" max="18" width="13" customWidth="1"/>
    <col min="19" max="19" width="9" customWidth="1"/>
    <col min="20" max="20" width="22.5" bestFit="1" customWidth="1"/>
    <col min="21" max="22" width="22.5" customWidth="1"/>
    <col min="23" max="23" width="43.375" customWidth="1"/>
    <col min="24" max="24" width="36" bestFit="1" customWidth="1"/>
    <col min="25" max="25" width="25.625" bestFit="1" customWidth="1"/>
    <col min="27" max="27" width="14.875" bestFit="1" customWidth="1"/>
    <col min="28" max="28" width="15.25" bestFit="1" customWidth="1"/>
    <col min="29" max="43" width="0" hidden="1" customWidth="1"/>
    <col min="261" max="261" width="5.25" customWidth="1"/>
    <col min="262" max="262" width="5.75" customWidth="1"/>
    <col min="263" max="263" width="26.875" bestFit="1" customWidth="1"/>
    <col min="264" max="264" width="31.5" customWidth="1"/>
    <col min="265" max="266" width="5.75" customWidth="1"/>
    <col min="267" max="267" width="11.125" customWidth="1"/>
    <col min="268" max="268" width="19.625" bestFit="1" customWidth="1"/>
    <col min="269" max="270" width="19.625" customWidth="1"/>
    <col min="273" max="273" width="11.375" bestFit="1" customWidth="1"/>
    <col min="274" max="274" width="15" bestFit="1" customWidth="1"/>
    <col min="275" max="276" width="0" hidden="1" customWidth="1"/>
    <col min="277" max="277" width="13" bestFit="1" customWidth="1"/>
    <col min="279" max="279" width="22.5" bestFit="1" customWidth="1"/>
    <col min="280" max="280" width="36" bestFit="1" customWidth="1"/>
    <col min="281" max="281" width="25.625" bestFit="1" customWidth="1"/>
    <col min="283" max="283" width="14.875" bestFit="1" customWidth="1"/>
    <col min="284" max="284" width="15.25" bestFit="1" customWidth="1"/>
    <col min="285" max="299" width="0" hidden="1" customWidth="1"/>
    <col min="517" max="517" width="5.25" customWidth="1"/>
    <col min="518" max="518" width="5.75" customWidth="1"/>
    <col min="519" max="519" width="26.875" bestFit="1" customWidth="1"/>
    <col min="520" max="520" width="31.5" customWidth="1"/>
    <col min="521" max="522" width="5.75" customWidth="1"/>
    <col min="523" max="523" width="11.125" customWidth="1"/>
    <col min="524" max="524" width="19.625" bestFit="1" customWidth="1"/>
    <col min="525" max="526" width="19.625" customWidth="1"/>
    <col min="529" max="529" width="11.375" bestFit="1" customWidth="1"/>
    <col min="530" max="530" width="15" bestFit="1" customWidth="1"/>
    <col min="531" max="532" width="0" hidden="1" customWidth="1"/>
    <col min="533" max="533" width="13" bestFit="1" customWidth="1"/>
    <col min="535" max="535" width="22.5" bestFit="1" customWidth="1"/>
    <col min="536" max="536" width="36" bestFit="1" customWidth="1"/>
    <col min="537" max="537" width="25.625" bestFit="1" customWidth="1"/>
    <col min="539" max="539" width="14.875" bestFit="1" customWidth="1"/>
    <col min="540" max="540" width="15.25" bestFit="1" customWidth="1"/>
    <col min="541" max="555" width="0" hidden="1" customWidth="1"/>
    <col min="773" max="773" width="5.25" customWidth="1"/>
    <col min="774" max="774" width="5.75" customWidth="1"/>
    <col min="775" max="775" width="26.875" bestFit="1" customWidth="1"/>
    <col min="776" max="776" width="31.5" customWidth="1"/>
    <col min="777" max="778" width="5.75" customWidth="1"/>
    <col min="779" max="779" width="11.125" customWidth="1"/>
    <col min="780" max="780" width="19.625" bestFit="1" customWidth="1"/>
    <col min="781" max="782" width="19.625" customWidth="1"/>
    <col min="785" max="785" width="11.375" bestFit="1" customWidth="1"/>
    <col min="786" max="786" width="15" bestFit="1" customWidth="1"/>
    <col min="787" max="788" width="0" hidden="1" customWidth="1"/>
    <col min="789" max="789" width="13" bestFit="1" customWidth="1"/>
    <col min="791" max="791" width="22.5" bestFit="1" customWidth="1"/>
    <col min="792" max="792" width="36" bestFit="1" customWidth="1"/>
    <col min="793" max="793" width="25.625" bestFit="1" customWidth="1"/>
    <col min="795" max="795" width="14.875" bestFit="1" customWidth="1"/>
    <col min="796" max="796" width="15.25" bestFit="1" customWidth="1"/>
    <col min="797" max="811" width="0" hidden="1" customWidth="1"/>
    <col min="1029" max="1029" width="5.25" customWidth="1"/>
    <col min="1030" max="1030" width="5.75" customWidth="1"/>
    <col min="1031" max="1031" width="26.875" bestFit="1" customWidth="1"/>
    <col min="1032" max="1032" width="31.5" customWidth="1"/>
    <col min="1033" max="1034" width="5.75" customWidth="1"/>
    <col min="1035" max="1035" width="11.125" customWidth="1"/>
    <col min="1036" max="1036" width="19.625" bestFit="1" customWidth="1"/>
    <col min="1037" max="1038" width="19.625" customWidth="1"/>
    <col min="1041" max="1041" width="11.375" bestFit="1" customWidth="1"/>
    <col min="1042" max="1042" width="15" bestFit="1" customWidth="1"/>
    <col min="1043" max="1044" width="0" hidden="1" customWidth="1"/>
    <col min="1045" max="1045" width="13" bestFit="1" customWidth="1"/>
    <col min="1047" max="1047" width="22.5" bestFit="1" customWidth="1"/>
    <col min="1048" max="1048" width="36" bestFit="1" customWidth="1"/>
    <col min="1049" max="1049" width="25.625" bestFit="1" customWidth="1"/>
    <col min="1051" max="1051" width="14.875" bestFit="1" customWidth="1"/>
    <col min="1052" max="1052" width="15.25" bestFit="1" customWidth="1"/>
    <col min="1053" max="1067" width="0" hidden="1" customWidth="1"/>
    <col min="1285" max="1285" width="5.25" customWidth="1"/>
    <col min="1286" max="1286" width="5.75" customWidth="1"/>
    <col min="1287" max="1287" width="26.875" bestFit="1" customWidth="1"/>
    <col min="1288" max="1288" width="31.5" customWidth="1"/>
    <col min="1289" max="1290" width="5.75" customWidth="1"/>
    <col min="1291" max="1291" width="11.125" customWidth="1"/>
    <col min="1292" max="1292" width="19.625" bestFit="1" customWidth="1"/>
    <col min="1293" max="1294" width="19.625" customWidth="1"/>
    <col min="1297" max="1297" width="11.375" bestFit="1" customWidth="1"/>
    <col min="1298" max="1298" width="15" bestFit="1" customWidth="1"/>
    <col min="1299" max="1300" width="0" hidden="1" customWidth="1"/>
    <col min="1301" max="1301" width="13" bestFit="1" customWidth="1"/>
    <col min="1303" max="1303" width="22.5" bestFit="1" customWidth="1"/>
    <col min="1304" max="1304" width="36" bestFit="1" customWidth="1"/>
    <col min="1305" max="1305" width="25.625" bestFit="1" customWidth="1"/>
    <col min="1307" max="1307" width="14.875" bestFit="1" customWidth="1"/>
    <col min="1308" max="1308" width="15.25" bestFit="1" customWidth="1"/>
    <col min="1309" max="1323" width="0" hidden="1" customWidth="1"/>
    <col min="1541" max="1541" width="5.25" customWidth="1"/>
    <col min="1542" max="1542" width="5.75" customWidth="1"/>
    <col min="1543" max="1543" width="26.875" bestFit="1" customWidth="1"/>
    <col min="1544" max="1544" width="31.5" customWidth="1"/>
    <col min="1545" max="1546" width="5.75" customWidth="1"/>
    <col min="1547" max="1547" width="11.125" customWidth="1"/>
    <col min="1548" max="1548" width="19.625" bestFit="1" customWidth="1"/>
    <col min="1549" max="1550" width="19.625" customWidth="1"/>
    <col min="1553" max="1553" width="11.375" bestFit="1" customWidth="1"/>
    <col min="1554" max="1554" width="15" bestFit="1" customWidth="1"/>
    <col min="1555" max="1556" width="0" hidden="1" customWidth="1"/>
    <col min="1557" max="1557" width="13" bestFit="1" customWidth="1"/>
    <col min="1559" max="1559" width="22.5" bestFit="1" customWidth="1"/>
    <col min="1560" max="1560" width="36" bestFit="1" customWidth="1"/>
    <col min="1561" max="1561" width="25.625" bestFit="1" customWidth="1"/>
    <col min="1563" max="1563" width="14.875" bestFit="1" customWidth="1"/>
    <col min="1564" max="1564" width="15.25" bestFit="1" customWidth="1"/>
    <col min="1565" max="1579" width="0" hidden="1" customWidth="1"/>
    <col min="1797" max="1797" width="5.25" customWidth="1"/>
    <col min="1798" max="1798" width="5.75" customWidth="1"/>
    <col min="1799" max="1799" width="26.875" bestFit="1" customWidth="1"/>
    <col min="1800" max="1800" width="31.5" customWidth="1"/>
    <col min="1801" max="1802" width="5.75" customWidth="1"/>
    <col min="1803" max="1803" width="11.125" customWidth="1"/>
    <col min="1804" max="1804" width="19.625" bestFit="1" customWidth="1"/>
    <col min="1805" max="1806" width="19.625" customWidth="1"/>
    <col min="1809" max="1809" width="11.375" bestFit="1" customWidth="1"/>
    <col min="1810" max="1810" width="15" bestFit="1" customWidth="1"/>
    <col min="1811" max="1812" width="0" hidden="1" customWidth="1"/>
    <col min="1813" max="1813" width="13" bestFit="1" customWidth="1"/>
    <col min="1815" max="1815" width="22.5" bestFit="1" customWidth="1"/>
    <col min="1816" max="1816" width="36" bestFit="1" customWidth="1"/>
    <col min="1817" max="1817" width="25.625" bestFit="1" customWidth="1"/>
    <col min="1819" max="1819" width="14.875" bestFit="1" customWidth="1"/>
    <col min="1820" max="1820" width="15.25" bestFit="1" customWidth="1"/>
    <col min="1821" max="1835" width="0" hidden="1" customWidth="1"/>
    <col min="2053" max="2053" width="5.25" customWidth="1"/>
    <col min="2054" max="2054" width="5.75" customWidth="1"/>
    <col min="2055" max="2055" width="26.875" bestFit="1" customWidth="1"/>
    <col min="2056" max="2056" width="31.5" customWidth="1"/>
    <col min="2057" max="2058" width="5.75" customWidth="1"/>
    <col min="2059" max="2059" width="11.125" customWidth="1"/>
    <col min="2060" max="2060" width="19.625" bestFit="1" customWidth="1"/>
    <col min="2061" max="2062" width="19.625" customWidth="1"/>
    <col min="2065" max="2065" width="11.375" bestFit="1" customWidth="1"/>
    <col min="2066" max="2066" width="15" bestFit="1" customWidth="1"/>
    <col min="2067" max="2068" width="0" hidden="1" customWidth="1"/>
    <col min="2069" max="2069" width="13" bestFit="1" customWidth="1"/>
    <col min="2071" max="2071" width="22.5" bestFit="1" customWidth="1"/>
    <col min="2072" max="2072" width="36" bestFit="1" customWidth="1"/>
    <col min="2073" max="2073" width="25.625" bestFit="1" customWidth="1"/>
    <col min="2075" max="2075" width="14.875" bestFit="1" customWidth="1"/>
    <col min="2076" max="2076" width="15.25" bestFit="1" customWidth="1"/>
    <col min="2077" max="2091" width="0" hidden="1" customWidth="1"/>
    <col min="2309" max="2309" width="5.25" customWidth="1"/>
    <col min="2310" max="2310" width="5.75" customWidth="1"/>
    <col min="2311" max="2311" width="26.875" bestFit="1" customWidth="1"/>
    <col min="2312" max="2312" width="31.5" customWidth="1"/>
    <col min="2313" max="2314" width="5.75" customWidth="1"/>
    <col min="2315" max="2315" width="11.125" customWidth="1"/>
    <col min="2316" max="2316" width="19.625" bestFit="1" customWidth="1"/>
    <col min="2317" max="2318" width="19.625" customWidth="1"/>
    <col min="2321" max="2321" width="11.375" bestFit="1" customWidth="1"/>
    <col min="2322" max="2322" width="15" bestFit="1" customWidth="1"/>
    <col min="2323" max="2324" width="0" hidden="1" customWidth="1"/>
    <col min="2325" max="2325" width="13" bestFit="1" customWidth="1"/>
    <col min="2327" max="2327" width="22.5" bestFit="1" customWidth="1"/>
    <col min="2328" max="2328" width="36" bestFit="1" customWidth="1"/>
    <col min="2329" max="2329" width="25.625" bestFit="1" customWidth="1"/>
    <col min="2331" max="2331" width="14.875" bestFit="1" customWidth="1"/>
    <col min="2332" max="2332" width="15.25" bestFit="1" customWidth="1"/>
    <col min="2333" max="2347" width="0" hidden="1" customWidth="1"/>
    <col min="2565" max="2565" width="5.25" customWidth="1"/>
    <col min="2566" max="2566" width="5.75" customWidth="1"/>
    <col min="2567" max="2567" width="26.875" bestFit="1" customWidth="1"/>
    <col min="2568" max="2568" width="31.5" customWidth="1"/>
    <col min="2569" max="2570" width="5.75" customWidth="1"/>
    <col min="2571" max="2571" width="11.125" customWidth="1"/>
    <col min="2572" max="2572" width="19.625" bestFit="1" customWidth="1"/>
    <col min="2573" max="2574" width="19.625" customWidth="1"/>
    <col min="2577" max="2577" width="11.375" bestFit="1" customWidth="1"/>
    <col min="2578" max="2578" width="15" bestFit="1" customWidth="1"/>
    <col min="2579" max="2580" width="0" hidden="1" customWidth="1"/>
    <col min="2581" max="2581" width="13" bestFit="1" customWidth="1"/>
    <col min="2583" max="2583" width="22.5" bestFit="1" customWidth="1"/>
    <col min="2584" max="2584" width="36" bestFit="1" customWidth="1"/>
    <col min="2585" max="2585" width="25.625" bestFit="1" customWidth="1"/>
    <col min="2587" max="2587" width="14.875" bestFit="1" customWidth="1"/>
    <col min="2588" max="2588" width="15.25" bestFit="1" customWidth="1"/>
    <col min="2589" max="2603" width="0" hidden="1" customWidth="1"/>
    <col min="2821" max="2821" width="5.25" customWidth="1"/>
    <col min="2822" max="2822" width="5.75" customWidth="1"/>
    <col min="2823" max="2823" width="26.875" bestFit="1" customWidth="1"/>
    <col min="2824" max="2824" width="31.5" customWidth="1"/>
    <col min="2825" max="2826" width="5.75" customWidth="1"/>
    <col min="2827" max="2827" width="11.125" customWidth="1"/>
    <col min="2828" max="2828" width="19.625" bestFit="1" customWidth="1"/>
    <col min="2829" max="2830" width="19.625" customWidth="1"/>
    <col min="2833" max="2833" width="11.375" bestFit="1" customWidth="1"/>
    <col min="2834" max="2834" width="15" bestFit="1" customWidth="1"/>
    <col min="2835" max="2836" width="0" hidden="1" customWidth="1"/>
    <col min="2837" max="2837" width="13" bestFit="1" customWidth="1"/>
    <col min="2839" max="2839" width="22.5" bestFit="1" customWidth="1"/>
    <col min="2840" max="2840" width="36" bestFit="1" customWidth="1"/>
    <col min="2841" max="2841" width="25.625" bestFit="1" customWidth="1"/>
    <col min="2843" max="2843" width="14.875" bestFit="1" customWidth="1"/>
    <col min="2844" max="2844" width="15.25" bestFit="1" customWidth="1"/>
    <col min="2845" max="2859" width="0" hidden="1" customWidth="1"/>
    <col min="3077" max="3077" width="5.25" customWidth="1"/>
    <col min="3078" max="3078" width="5.75" customWidth="1"/>
    <col min="3079" max="3079" width="26.875" bestFit="1" customWidth="1"/>
    <col min="3080" max="3080" width="31.5" customWidth="1"/>
    <col min="3081" max="3082" width="5.75" customWidth="1"/>
    <col min="3083" max="3083" width="11.125" customWidth="1"/>
    <col min="3084" max="3084" width="19.625" bestFit="1" customWidth="1"/>
    <col min="3085" max="3086" width="19.625" customWidth="1"/>
    <col min="3089" max="3089" width="11.375" bestFit="1" customWidth="1"/>
    <col min="3090" max="3090" width="15" bestFit="1" customWidth="1"/>
    <col min="3091" max="3092" width="0" hidden="1" customWidth="1"/>
    <col min="3093" max="3093" width="13" bestFit="1" customWidth="1"/>
    <col min="3095" max="3095" width="22.5" bestFit="1" customWidth="1"/>
    <col min="3096" max="3096" width="36" bestFit="1" customWidth="1"/>
    <col min="3097" max="3097" width="25.625" bestFit="1" customWidth="1"/>
    <col min="3099" max="3099" width="14.875" bestFit="1" customWidth="1"/>
    <col min="3100" max="3100" width="15.25" bestFit="1" customWidth="1"/>
    <col min="3101" max="3115" width="0" hidden="1" customWidth="1"/>
    <col min="3333" max="3333" width="5.25" customWidth="1"/>
    <col min="3334" max="3334" width="5.75" customWidth="1"/>
    <col min="3335" max="3335" width="26.875" bestFit="1" customWidth="1"/>
    <col min="3336" max="3336" width="31.5" customWidth="1"/>
    <col min="3337" max="3338" width="5.75" customWidth="1"/>
    <col min="3339" max="3339" width="11.125" customWidth="1"/>
    <col min="3340" max="3340" width="19.625" bestFit="1" customWidth="1"/>
    <col min="3341" max="3342" width="19.625" customWidth="1"/>
    <col min="3345" max="3345" width="11.375" bestFit="1" customWidth="1"/>
    <col min="3346" max="3346" width="15" bestFit="1" customWidth="1"/>
    <col min="3347" max="3348" width="0" hidden="1" customWidth="1"/>
    <col min="3349" max="3349" width="13" bestFit="1" customWidth="1"/>
    <col min="3351" max="3351" width="22.5" bestFit="1" customWidth="1"/>
    <col min="3352" max="3352" width="36" bestFit="1" customWidth="1"/>
    <col min="3353" max="3353" width="25.625" bestFit="1" customWidth="1"/>
    <col min="3355" max="3355" width="14.875" bestFit="1" customWidth="1"/>
    <col min="3356" max="3356" width="15.25" bestFit="1" customWidth="1"/>
    <col min="3357" max="3371" width="0" hidden="1" customWidth="1"/>
    <col min="3589" max="3589" width="5.25" customWidth="1"/>
    <col min="3590" max="3590" width="5.75" customWidth="1"/>
    <col min="3591" max="3591" width="26.875" bestFit="1" customWidth="1"/>
    <col min="3592" max="3592" width="31.5" customWidth="1"/>
    <col min="3593" max="3594" width="5.75" customWidth="1"/>
    <col min="3595" max="3595" width="11.125" customWidth="1"/>
    <col min="3596" max="3596" width="19.625" bestFit="1" customWidth="1"/>
    <col min="3597" max="3598" width="19.625" customWidth="1"/>
    <col min="3601" max="3601" width="11.375" bestFit="1" customWidth="1"/>
    <col min="3602" max="3602" width="15" bestFit="1" customWidth="1"/>
    <col min="3603" max="3604" width="0" hidden="1" customWidth="1"/>
    <col min="3605" max="3605" width="13" bestFit="1" customWidth="1"/>
    <col min="3607" max="3607" width="22.5" bestFit="1" customWidth="1"/>
    <col min="3608" max="3608" width="36" bestFit="1" customWidth="1"/>
    <col min="3609" max="3609" width="25.625" bestFit="1" customWidth="1"/>
    <col min="3611" max="3611" width="14.875" bestFit="1" customWidth="1"/>
    <col min="3612" max="3612" width="15.25" bestFit="1" customWidth="1"/>
    <col min="3613" max="3627" width="0" hidden="1" customWidth="1"/>
    <col min="3845" max="3845" width="5.25" customWidth="1"/>
    <col min="3846" max="3846" width="5.75" customWidth="1"/>
    <col min="3847" max="3847" width="26.875" bestFit="1" customWidth="1"/>
    <col min="3848" max="3848" width="31.5" customWidth="1"/>
    <col min="3849" max="3850" width="5.75" customWidth="1"/>
    <col min="3851" max="3851" width="11.125" customWidth="1"/>
    <col min="3852" max="3852" width="19.625" bestFit="1" customWidth="1"/>
    <col min="3853" max="3854" width="19.625" customWidth="1"/>
    <col min="3857" max="3857" width="11.375" bestFit="1" customWidth="1"/>
    <col min="3858" max="3858" width="15" bestFit="1" customWidth="1"/>
    <col min="3859" max="3860" width="0" hidden="1" customWidth="1"/>
    <col min="3861" max="3861" width="13" bestFit="1" customWidth="1"/>
    <col min="3863" max="3863" width="22.5" bestFit="1" customWidth="1"/>
    <col min="3864" max="3864" width="36" bestFit="1" customWidth="1"/>
    <col min="3865" max="3865" width="25.625" bestFit="1" customWidth="1"/>
    <col min="3867" max="3867" width="14.875" bestFit="1" customWidth="1"/>
    <col min="3868" max="3868" width="15.25" bestFit="1" customWidth="1"/>
    <col min="3869" max="3883" width="0" hidden="1" customWidth="1"/>
    <col min="4101" max="4101" width="5.25" customWidth="1"/>
    <col min="4102" max="4102" width="5.75" customWidth="1"/>
    <col min="4103" max="4103" width="26.875" bestFit="1" customWidth="1"/>
    <col min="4104" max="4104" width="31.5" customWidth="1"/>
    <col min="4105" max="4106" width="5.75" customWidth="1"/>
    <col min="4107" max="4107" width="11.125" customWidth="1"/>
    <col min="4108" max="4108" width="19.625" bestFit="1" customWidth="1"/>
    <col min="4109" max="4110" width="19.625" customWidth="1"/>
    <col min="4113" max="4113" width="11.375" bestFit="1" customWidth="1"/>
    <col min="4114" max="4114" width="15" bestFit="1" customWidth="1"/>
    <col min="4115" max="4116" width="0" hidden="1" customWidth="1"/>
    <col min="4117" max="4117" width="13" bestFit="1" customWidth="1"/>
    <col min="4119" max="4119" width="22.5" bestFit="1" customWidth="1"/>
    <col min="4120" max="4120" width="36" bestFit="1" customWidth="1"/>
    <col min="4121" max="4121" width="25.625" bestFit="1" customWidth="1"/>
    <col min="4123" max="4123" width="14.875" bestFit="1" customWidth="1"/>
    <col min="4124" max="4124" width="15.25" bestFit="1" customWidth="1"/>
    <col min="4125" max="4139" width="0" hidden="1" customWidth="1"/>
    <col min="4357" max="4357" width="5.25" customWidth="1"/>
    <col min="4358" max="4358" width="5.75" customWidth="1"/>
    <col min="4359" max="4359" width="26.875" bestFit="1" customWidth="1"/>
    <col min="4360" max="4360" width="31.5" customWidth="1"/>
    <col min="4361" max="4362" width="5.75" customWidth="1"/>
    <col min="4363" max="4363" width="11.125" customWidth="1"/>
    <col min="4364" max="4364" width="19.625" bestFit="1" customWidth="1"/>
    <col min="4365" max="4366" width="19.625" customWidth="1"/>
    <col min="4369" max="4369" width="11.375" bestFit="1" customWidth="1"/>
    <col min="4370" max="4370" width="15" bestFit="1" customWidth="1"/>
    <col min="4371" max="4372" width="0" hidden="1" customWidth="1"/>
    <col min="4373" max="4373" width="13" bestFit="1" customWidth="1"/>
    <col min="4375" max="4375" width="22.5" bestFit="1" customWidth="1"/>
    <col min="4376" max="4376" width="36" bestFit="1" customWidth="1"/>
    <col min="4377" max="4377" width="25.625" bestFit="1" customWidth="1"/>
    <col min="4379" max="4379" width="14.875" bestFit="1" customWidth="1"/>
    <col min="4380" max="4380" width="15.25" bestFit="1" customWidth="1"/>
    <col min="4381" max="4395" width="0" hidden="1" customWidth="1"/>
    <col min="4613" max="4613" width="5.25" customWidth="1"/>
    <col min="4614" max="4614" width="5.75" customWidth="1"/>
    <col min="4615" max="4615" width="26.875" bestFit="1" customWidth="1"/>
    <col min="4616" max="4616" width="31.5" customWidth="1"/>
    <col min="4617" max="4618" width="5.75" customWidth="1"/>
    <col min="4619" max="4619" width="11.125" customWidth="1"/>
    <col min="4620" max="4620" width="19.625" bestFit="1" customWidth="1"/>
    <col min="4621" max="4622" width="19.625" customWidth="1"/>
    <col min="4625" max="4625" width="11.375" bestFit="1" customWidth="1"/>
    <col min="4626" max="4626" width="15" bestFit="1" customWidth="1"/>
    <col min="4627" max="4628" width="0" hidden="1" customWidth="1"/>
    <col min="4629" max="4629" width="13" bestFit="1" customWidth="1"/>
    <col min="4631" max="4631" width="22.5" bestFit="1" customWidth="1"/>
    <col min="4632" max="4632" width="36" bestFit="1" customWidth="1"/>
    <col min="4633" max="4633" width="25.625" bestFit="1" customWidth="1"/>
    <col min="4635" max="4635" width="14.875" bestFit="1" customWidth="1"/>
    <col min="4636" max="4636" width="15.25" bestFit="1" customWidth="1"/>
    <col min="4637" max="4651" width="0" hidden="1" customWidth="1"/>
    <col min="4869" max="4869" width="5.25" customWidth="1"/>
    <col min="4870" max="4870" width="5.75" customWidth="1"/>
    <col min="4871" max="4871" width="26.875" bestFit="1" customWidth="1"/>
    <col min="4872" max="4872" width="31.5" customWidth="1"/>
    <col min="4873" max="4874" width="5.75" customWidth="1"/>
    <col min="4875" max="4875" width="11.125" customWidth="1"/>
    <col min="4876" max="4876" width="19.625" bestFit="1" customWidth="1"/>
    <col min="4877" max="4878" width="19.625" customWidth="1"/>
    <col min="4881" max="4881" width="11.375" bestFit="1" customWidth="1"/>
    <col min="4882" max="4882" width="15" bestFit="1" customWidth="1"/>
    <col min="4883" max="4884" width="0" hidden="1" customWidth="1"/>
    <col min="4885" max="4885" width="13" bestFit="1" customWidth="1"/>
    <col min="4887" max="4887" width="22.5" bestFit="1" customWidth="1"/>
    <col min="4888" max="4888" width="36" bestFit="1" customWidth="1"/>
    <col min="4889" max="4889" width="25.625" bestFit="1" customWidth="1"/>
    <col min="4891" max="4891" width="14.875" bestFit="1" customWidth="1"/>
    <col min="4892" max="4892" width="15.25" bestFit="1" customWidth="1"/>
    <col min="4893" max="4907" width="0" hidden="1" customWidth="1"/>
    <col min="5125" max="5125" width="5.25" customWidth="1"/>
    <col min="5126" max="5126" width="5.75" customWidth="1"/>
    <col min="5127" max="5127" width="26.875" bestFit="1" customWidth="1"/>
    <col min="5128" max="5128" width="31.5" customWidth="1"/>
    <col min="5129" max="5130" width="5.75" customWidth="1"/>
    <col min="5131" max="5131" width="11.125" customWidth="1"/>
    <col min="5132" max="5132" width="19.625" bestFit="1" customWidth="1"/>
    <col min="5133" max="5134" width="19.625" customWidth="1"/>
    <col min="5137" max="5137" width="11.375" bestFit="1" customWidth="1"/>
    <col min="5138" max="5138" width="15" bestFit="1" customWidth="1"/>
    <col min="5139" max="5140" width="0" hidden="1" customWidth="1"/>
    <col min="5141" max="5141" width="13" bestFit="1" customWidth="1"/>
    <col min="5143" max="5143" width="22.5" bestFit="1" customWidth="1"/>
    <col min="5144" max="5144" width="36" bestFit="1" customWidth="1"/>
    <col min="5145" max="5145" width="25.625" bestFit="1" customWidth="1"/>
    <col min="5147" max="5147" width="14.875" bestFit="1" customWidth="1"/>
    <col min="5148" max="5148" width="15.25" bestFit="1" customWidth="1"/>
    <col min="5149" max="5163" width="0" hidden="1" customWidth="1"/>
    <col min="5381" max="5381" width="5.25" customWidth="1"/>
    <col min="5382" max="5382" width="5.75" customWidth="1"/>
    <col min="5383" max="5383" width="26.875" bestFit="1" customWidth="1"/>
    <col min="5384" max="5384" width="31.5" customWidth="1"/>
    <col min="5385" max="5386" width="5.75" customWidth="1"/>
    <col min="5387" max="5387" width="11.125" customWidth="1"/>
    <col min="5388" max="5388" width="19.625" bestFit="1" customWidth="1"/>
    <col min="5389" max="5390" width="19.625" customWidth="1"/>
    <col min="5393" max="5393" width="11.375" bestFit="1" customWidth="1"/>
    <col min="5394" max="5394" width="15" bestFit="1" customWidth="1"/>
    <col min="5395" max="5396" width="0" hidden="1" customWidth="1"/>
    <col min="5397" max="5397" width="13" bestFit="1" customWidth="1"/>
    <col min="5399" max="5399" width="22.5" bestFit="1" customWidth="1"/>
    <col min="5400" max="5400" width="36" bestFit="1" customWidth="1"/>
    <col min="5401" max="5401" width="25.625" bestFit="1" customWidth="1"/>
    <col min="5403" max="5403" width="14.875" bestFit="1" customWidth="1"/>
    <col min="5404" max="5404" width="15.25" bestFit="1" customWidth="1"/>
    <col min="5405" max="5419" width="0" hidden="1" customWidth="1"/>
    <col min="5637" max="5637" width="5.25" customWidth="1"/>
    <col min="5638" max="5638" width="5.75" customWidth="1"/>
    <col min="5639" max="5639" width="26.875" bestFit="1" customWidth="1"/>
    <col min="5640" max="5640" width="31.5" customWidth="1"/>
    <col min="5641" max="5642" width="5.75" customWidth="1"/>
    <col min="5643" max="5643" width="11.125" customWidth="1"/>
    <col min="5644" max="5644" width="19.625" bestFit="1" customWidth="1"/>
    <col min="5645" max="5646" width="19.625" customWidth="1"/>
    <col min="5649" max="5649" width="11.375" bestFit="1" customWidth="1"/>
    <col min="5650" max="5650" width="15" bestFit="1" customWidth="1"/>
    <col min="5651" max="5652" width="0" hidden="1" customWidth="1"/>
    <col min="5653" max="5653" width="13" bestFit="1" customWidth="1"/>
    <col min="5655" max="5655" width="22.5" bestFit="1" customWidth="1"/>
    <col min="5656" max="5656" width="36" bestFit="1" customWidth="1"/>
    <col min="5657" max="5657" width="25.625" bestFit="1" customWidth="1"/>
    <col min="5659" max="5659" width="14.875" bestFit="1" customWidth="1"/>
    <col min="5660" max="5660" width="15.25" bestFit="1" customWidth="1"/>
    <col min="5661" max="5675" width="0" hidden="1" customWidth="1"/>
    <col min="5893" max="5893" width="5.25" customWidth="1"/>
    <col min="5894" max="5894" width="5.75" customWidth="1"/>
    <col min="5895" max="5895" width="26.875" bestFit="1" customWidth="1"/>
    <col min="5896" max="5896" width="31.5" customWidth="1"/>
    <col min="5897" max="5898" width="5.75" customWidth="1"/>
    <col min="5899" max="5899" width="11.125" customWidth="1"/>
    <col min="5900" max="5900" width="19.625" bestFit="1" customWidth="1"/>
    <col min="5901" max="5902" width="19.625" customWidth="1"/>
    <col min="5905" max="5905" width="11.375" bestFit="1" customWidth="1"/>
    <col min="5906" max="5906" width="15" bestFit="1" customWidth="1"/>
    <col min="5907" max="5908" width="0" hidden="1" customWidth="1"/>
    <col min="5909" max="5909" width="13" bestFit="1" customWidth="1"/>
    <col min="5911" max="5911" width="22.5" bestFit="1" customWidth="1"/>
    <col min="5912" max="5912" width="36" bestFit="1" customWidth="1"/>
    <col min="5913" max="5913" width="25.625" bestFit="1" customWidth="1"/>
    <col min="5915" max="5915" width="14.875" bestFit="1" customWidth="1"/>
    <col min="5916" max="5916" width="15.25" bestFit="1" customWidth="1"/>
    <col min="5917" max="5931" width="0" hidden="1" customWidth="1"/>
    <col min="6149" max="6149" width="5.25" customWidth="1"/>
    <col min="6150" max="6150" width="5.75" customWidth="1"/>
    <col min="6151" max="6151" width="26.875" bestFit="1" customWidth="1"/>
    <col min="6152" max="6152" width="31.5" customWidth="1"/>
    <col min="6153" max="6154" width="5.75" customWidth="1"/>
    <col min="6155" max="6155" width="11.125" customWidth="1"/>
    <col min="6156" max="6156" width="19.625" bestFit="1" customWidth="1"/>
    <col min="6157" max="6158" width="19.625" customWidth="1"/>
    <col min="6161" max="6161" width="11.375" bestFit="1" customWidth="1"/>
    <col min="6162" max="6162" width="15" bestFit="1" customWidth="1"/>
    <col min="6163" max="6164" width="0" hidden="1" customWidth="1"/>
    <col min="6165" max="6165" width="13" bestFit="1" customWidth="1"/>
    <col min="6167" max="6167" width="22.5" bestFit="1" customWidth="1"/>
    <col min="6168" max="6168" width="36" bestFit="1" customWidth="1"/>
    <col min="6169" max="6169" width="25.625" bestFit="1" customWidth="1"/>
    <col min="6171" max="6171" width="14.875" bestFit="1" customWidth="1"/>
    <col min="6172" max="6172" width="15.25" bestFit="1" customWidth="1"/>
    <col min="6173" max="6187" width="0" hidden="1" customWidth="1"/>
    <col min="6405" max="6405" width="5.25" customWidth="1"/>
    <col min="6406" max="6406" width="5.75" customWidth="1"/>
    <col min="6407" max="6407" width="26.875" bestFit="1" customWidth="1"/>
    <col min="6408" max="6408" width="31.5" customWidth="1"/>
    <col min="6409" max="6410" width="5.75" customWidth="1"/>
    <col min="6411" max="6411" width="11.125" customWidth="1"/>
    <col min="6412" max="6412" width="19.625" bestFit="1" customWidth="1"/>
    <col min="6413" max="6414" width="19.625" customWidth="1"/>
    <col min="6417" max="6417" width="11.375" bestFit="1" customWidth="1"/>
    <col min="6418" max="6418" width="15" bestFit="1" customWidth="1"/>
    <col min="6419" max="6420" width="0" hidden="1" customWidth="1"/>
    <col min="6421" max="6421" width="13" bestFit="1" customWidth="1"/>
    <col min="6423" max="6423" width="22.5" bestFit="1" customWidth="1"/>
    <col min="6424" max="6424" width="36" bestFit="1" customWidth="1"/>
    <col min="6425" max="6425" width="25.625" bestFit="1" customWidth="1"/>
    <col min="6427" max="6427" width="14.875" bestFit="1" customWidth="1"/>
    <col min="6428" max="6428" width="15.25" bestFit="1" customWidth="1"/>
    <col min="6429" max="6443" width="0" hidden="1" customWidth="1"/>
    <col min="6661" max="6661" width="5.25" customWidth="1"/>
    <col min="6662" max="6662" width="5.75" customWidth="1"/>
    <col min="6663" max="6663" width="26.875" bestFit="1" customWidth="1"/>
    <col min="6664" max="6664" width="31.5" customWidth="1"/>
    <col min="6665" max="6666" width="5.75" customWidth="1"/>
    <col min="6667" max="6667" width="11.125" customWidth="1"/>
    <col min="6668" max="6668" width="19.625" bestFit="1" customWidth="1"/>
    <col min="6669" max="6670" width="19.625" customWidth="1"/>
    <col min="6673" max="6673" width="11.375" bestFit="1" customWidth="1"/>
    <col min="6674" max="6674" width="15" bestFit="1" customWidth="1"/>
    <col min="6675" max="6676" width="0" hidden="1" customWidth="1"/>
    <col min="6677" max="6677" width="13" bestFit="1" customWidth="1"/>
    <col min="6679" max="6679" width="22.5" bestFit="1" customWidth="1"/>
    <col min="6680" max="6680" width="36" bestFit="1" customWidth="1"/>
    <col min="6681" max="6681" width="25.625" bestFit="1" customWidth="1"/>
    <col min="6683" max="6683" width="14.875" bestFit="1" customWidth="1"/>
    <col min="6684" max="6684" width="15.25" bestFit="1" customWidth="1"/>
    <col min="6685" max="6699" width="0" hidden="1" customWidth="1"/>
    <col min="6917" max="6917" width="5.25" customWidth="1"/>
    <col min="6918" max="6918" width="5.75" customWidth="1"/>
    <col min="6919" max="6919" width="26.875" bestFit="1" customWidth="1"/>
    <col min="6920" max="6920" width="31.5" customWidth="1"/>
    <col min="6921" max="6922" width="5.75" customWidth="1"/>
    <col min="6923" max="6923" width="11.125" customWidth="1"/>
    <col min="6924" max="6924" width="19.625" bestFit="1" customWidth="1"/>
    <col min="6925" max="6926" width="19.625" customWidth="1"/>
    <col min="6929" max="6929" width="11.375" bestFit="1" customWidth="1"/>
    <col min="6930" max="6930" width="15" bestFit="1" customWidth="1"/>
    <col min="6931" max="6932" width="0" hidden="1" customWidth="1"/>
    <col min="6933" max="6933" width="13" bestFit="1" customWidth="1"/>
    <col min="6935" max="6935" width="22.5" bestFit="1" customWidth="1"/>
    <col min="6936" max="6936" width="36" bestFit="1" customWidth="1"/>
    <col min="6937" max="6937" width="25.625" bestFit="1" customWidth="1"/>
    <col min="6939" max="6939" width="14.875" bestFit="1" customWidth="1"/>
    <col min="6940" max="6940" width="15.25" bestFit="1" customWidth="1"/>
    <col min="6941" max="6955" width="0" hidden="1" customWidth="1"/>
    <col min="7173" max="7173" width="5.25" customWidth="1"/>
    <col min="7174" max="7174" width="5.75" customWidth="1"/>
    <col min="7175" max="7175" width="26.875" bestFit="1" customWidth="1"/>
    <col min="7176" max="7176" width="31.5" customWidth="1"/>
    <col min="7177" max="7178" width="5.75" customWidth="1"/>
    <col min="7179" max="7179" width="11.125" customWidth="1"/>
    <col min="7180" max="7180" width="19.625" bestFit="1" customWidth="1"/>
    <col min="7181" max="7182" width="19.625" customWidth="1"/>
    <col min="7185" max="7185" width="11.375" bestFit="1" customWidth="1"/>
    <col min="7186" max="7186" width="15" bestFit="1" customWidth="1"/>
    <col min="7187" max="7188" width="0" hidden="1" customWidth="1"/>
    <col min="7189" max="7189" width="13" bestFit="1" customWidth="1"/>
    <col min="7191" max="7191" width="22.5" bestFit="1" customWidth="1"/>
    <col min="7192" max="7192" width="36" bestFit="1" customWidth="1"/>
    <col min="7193" max="7193" width="25.625" bestFit="1" customWidth="1"/>
    <col min="7195" max="7195" width="14.875" bestFit="1" customWidth="1"/>
    <col min="7196" max="7196" width="15.25" bestFit="1" customWidth="1"/>
    <col min="7197" max="7211" width="0" hidden="1" customWidth="1"/>
    <col min="7429" max="7429" width="5.25" customWidth="1"/>
    <col min="7430" max="7430" width="5.75" customWidth="1"/>
    <col min="7431" max="7431" width="26.875" bestFit="1" customWidth="1"/>
    <col min="7432" max="7432" width="31.5" customWidth="1"/>
    <col min="7433" max="7434" width="5.75" customWidth="1"/>
    <col min="7435" max="7435" width="11.125" customWidth="1"/>
    <col min="7436" max="7436" width="19.625" bestFit="1" customWidth="1"/>
    <col min="7437" max="7438" width="19.625" customWidth="1"/>
    <col min="7441" max="7441" width="11.375" bestFit="1" customWidth="1"/>
    <col min="7442" max="7442" width="15" bestFit="1" customWidth="1"/>
    <col min="7443" max="7444" width="0" hidden="1" customWidth="1"/>
    <col min="7445" max="7445" width="13" bestFit="1" customWidth="1"/>
    <col min="7447" max="7447" width="22.5" bestFit="1" customWidth="1"/>
    <col min="7448" max="7448" width="36" bestFit="1" customWidth="1"/>
    <col min="7449" max="7449" width="25.625" bestFit="1" customWidth="1"/>
    <col min="7451" max="7451" width="14.875" bestFit="1" customWidth="1"/>
    <col min="7452" max="7452" width="15.25" bestFit="1" customWidth="1"/>
    <col min="7453" max="7467" width="0" hidden="1" customWidth="1"/>
    <col min="7685" max="7685" width="5.25" customWidth="1"/>
    <col min="7686" max="7686" width="5.75" customWidth="1"/>
    <col min="7687" max="7687" width="26.875" bestFit="1" customWidth="1"/>
    <col min="7688" max="7688" width="31.5" customWidth="1"/>
    <col min="7689" max="7690" width="5.75" customWidth="1"/>
    <col min="7691" max="7691" width="11.125" customWidth="1"/>
    <col min="7692" max="7692" width="19.625" bestFit="1" customWidth="1"/>
    <col min="7693" max="7694" width="19.625" customWidth="1"/>
    <col min="7697" max="7697" width="11.375" bestFit="1" customWidth="1"/>
    <col min="7698" max="7698" width="15" bestFit="1" customWidth="1"/>
    <col min="7699" max="7700" width="0" hidden="1" customWidth="1"/>
    <col min="7701" max="7701" width="13" bestFit="1" customWidth="1"/>
    <col min="7703" max="7703" width="22.5" bestFit="1" customWidth="1"/>
    <col min="7704" max="7704" width="36" bestFit="1" customWidth="1"/>
    <col min="7705" max="7705" width="25.625" bestFit="1" customWidth="1"/>
    <col min="7707" max="7707" width="14.875" bestFit="1" customWidth="1"/>
    <col min="7708" max="7708" width="15.25" bestFit="1" customWidth="1"/>
    <col min="7709" max="7723" width="0" hidden="1" customWidth="1"/>
    <col min="7941" max="7941" width="5.25" customWidth="1"/>
    <col min="7942" max="7942" width="5.75" customWidth="1"/>
    <col min="7943" max="7943" width="26.875" bestFit="1" customWidth="1"/>
    <col min="7944" max="7944" width="31.5" customWidth="1"/>
    <col min="7945" max="7946" width="5.75" customWidth="1"/>
    <col min="7947" max="7947" width="11.125" customWidth="1"/>
    <col min="7948" max="7948" width="19.625" bestFit="1" customWidth="1"/>
    <col min="7949" max="7950" width="19.625" customWidth="1"/>
    <col min="7953" max="7953" width="11.375" bestFit="1" customWidth="1"/>
    <col min="7954" max="7954" width="15" bestFit="1" customWidth="1"/>
    <col min="7955" max="7956" width="0" hidden="1" customWidth="1"/>
    <col min="7957" max="7957" width="13" bestFit="1" customWidth="1"/>
    <col min="7959" max="7959" width="22.5" bestFit="1" customWidth="1"/>
    <col min="7960" max="7960" width="36" bestFit="1" customWidth="1"/>
    <col min="7961" max="7961" width="25.625" bestFit="1" customWidth="1"/>
    <col min="7963" max="7963" width="14.875" bestFit="1" customWidth="1"/>
    <col min="7964" max="7964" width="15.25" bestFit="1" customWidth="1"/>
    <col min="7965" max="7979" width="0" hidden="1" customWidth="1"/>
    <col min="8197" max="8197" width="5.25" customWidth="1"/>
    <col min="8198" max="8198" width="5.75" customWidth="1"/>
    <col min="8199" max="8199" width="26.875" bestFit="1" customWidth="1"/>
    <col min="8200" max="8200" width="31.5" customWidth="1"/>
    <col min="8201" max="8202" width="5.75" customWidth="1"/>
    <col min="8203" max="8203" width="11.125" customWidth="1"/>
    <col min="8204" max="8204" width="19.625" bestFit="1" customWidth="1"/>
    <col min="8205" max="8206" width="19.625" customWidth="1"/>
    <col min="8209" max="8209" width="11.375" bestFit="1" customWidth="1"/>
    <col min="8210" max="8210" width="15" bestFit="1" customWidth="1"/>
    <col min="8211" max="8212" width="0" hidden="1" customWidth="1"/>
    <col min="8213" max="8213" width="13" bestFit="1" customWidth="1"/>
    <col min="8215" max="8215" width="22.5" bestFit="1" customWidth="1"/>
    <col min="8216" max="8216" width="36" bestFit="1" customWidth="1"/>
    <col min="8217" max="8217" width="25.625" bestFit="1" customWidth="1"/>
    <col min="8219" max="8219" width="14.875" bestFit="1" customWidth="1"/>
    <col min="8220" max="8220" width="15.25" bestFit="1" customWidth="1"/>
    <col min="8221" max="8235" width="0" hidden="1" customWidth="1"/>
    <col min="8453" max="8453" width="5.25" customWidth="1"/>
    <col min="8454" max="8454" width="5.75" customWidth="1"/>
    <col min="8455" max="8455" width="26.875" bestFit="1" customWidth="1"/>
    <col min="8456" max="8456" width="31.5" customWidth="1"/>
    <col min="8457" max="8458" width="5.75" customWidth="1"/>
    <col min="8459" max="8459" width="11.125" customWidth="1"/>
    <col min="8460" max="8460" width="19.625" bestFit="1" customWidth="1"/>
    <col min="8461" max="8462" width="19.625" customWidth="1"/>
    <col min="8465" max="8465" width="11.375" bestFit="1" customWidth="1"/>
    <col min="8466" max="8466" width="15" bestFit="1" customWidth="1"/>
    <col min="8467" max="8468" width="0" hidden="1" customWidth="1"/>
    <col min="8469" max="8469" width="13" bestFit="1" customWidth="1"/>
    <col min="8471" max="8471" width="22.5" bestFit="1" customWidth="1"/>
    <col min="8472" max="8472" width="36" bestFit="1" customWidth="1"/>
    <col min="8473" max="8473" width="25.625" bestFit="1" customWidth="1"/>
    <col min="8475" max="8475" width="14.875" bestFit="1" customWidth="1"/>
    <col min="8476" max="8476" width="15.25" bestFit="1" customWidth="1"/>
    <col min="8477" max="8491" width="0" hidden="1" customWidth="1"/>
    <col min="8709" max="8709" width="5.25" customWidth="1"/>
    <col min="8710" max="8710" width="5.75" customWidth="1"/>
    <col min="8711" max="8711" width="26.875" bestFit="1" customWidth="1"/>
    <col min="8712" max="8712" width="31.5" customWidth="1"/>
    <col min="8713" max="8714" width="5.75" customWidth="1"/>
    <col min="8715" max="8715" width="11.125" customWidth="1"/>
    <col min="8716" max="8716" width="19.625" bestFit="1" customWidth="1"/>
    <col min="8717" max="8718" width="19.625" customWidth="1"/>
    <col min="8721" max="8721" width="11.375" bestFit="1" customWidth="1"/>
    <col min="8722" max="8722" width="15" bestFit="1" customWidth="1"/>
    <col min="8723" max="8724" width="0" hidden="1" customWidth="1"/>
    <col min="8725" max="8725" width="13" bestFit="1" customWidth="1"/>
    <col min="8727" max="8727" width="22.5" bestFit="1" customWidth="1"/>
    <col min="8728" max="8728" width="36" bestFit="1" customWidth="1"/>
    <col min="8729" max="8729" width="25.625" bestFit="1" customWidth="1"/>
    <col min="8731" max="8731" width="14.875" bestFit="1" customWidth="1"/>
    <col min="8732" max="8732" width="15.25" bestFit="1" customWidth="1"/>
    <col min="8733" max="8747" width="0" hidden="1" customWidth="1"/>
    <col min="8965" max="8965" width="5.25" customWidth="1"/>
    <col min="8966" max="8966" width="5.75" customWidth="1"/>
    <col min="8967" max="8967" width="26.875" bestFit="1" customWidth="1"/>
    <col min="8968" max="8968" width="31.5" customWidth="1"/>
    <col min="8969" max="8970" width="5.75" customWidth="1"/>
    <col min="8971" max="8971" width="11.125" customWidth="1"/>
    <col min="8972" max="8972" width="19.625" bestFit="1" customWidth="1"/>
    <col min="8973" max="8974" width="19.625" customWidth="1"/>
    <col min="8977" max="8977" width="11.375" bestFit="1" customWidth="1"/>
    <col min="8978" max="8978" width="15" bestFit="1" customWidth="1"/>
    <col min="8979" max="8980" width="0" hidden="1" customWidth="1"/>
    <col min="8981" max="8981" width="13" bestFit="1" customWidth="1"/>
    <col min="8983" max="8983" width="22.5" bestFit="1" customWidth="1"/>
    <col min="8984" max="8984" width="36" bestFit="1" customWidth="1"/>
    <col min="8985" max="8985" width="25.625" bestFit="1" customWidth="1"/>
    <col min="8987" max="8987" width="14.875" bestFit="1" customWidth="1"/>
    <col min="8988" max="8988" width="15.25" bestFit="1" customWidth="1"/>
    <col min="8989" max="9003" width="0" hidden="1" customWidth="1"/>
    <col min="9221" max="9221" width="5.25" customWidth="1"/>
    <col min="9222" max="9222" width="5.75" customWidth="1"/>
    <col min="9223" max="9223" width="26.875" bestFit="1" customWidth="1"/>
    <col min="9224" max="9224" width="31.5" customWidth="1"/>
    <col min="9225" max="9226" width="5.75" customWidth="1"/>
    <col min="9227" max="9227" width="11.125" customWidth="1"/>
    <col min="9228" max="9228" width="19.625" bestFit="1" customWidth="1"/>
    <col min="9229" max="9230" width="19.625" customWidth="1"/>
    <col min="9233" max="9233" width="11.375" bestFit="1" customWidth="1"/>
    <col min="9234" max="9234" width="15" bestFit="1" customWidth="1"/>
    <col min="9235" max="9236" width="0" hidden="1" customWidth="1"/>
    <col min="9237" max="9237" width="13" bestFit="1" customWidth="1"/>
    <col min="9239" max="9239" width="22.5" bestFit="1" customWidth="1"/>
    <col min="9240" max="9240" width="36" bestFit="1" customWidth="1"/>
    <col min="9241" max="9241" width="25.625" bestFit="1" customWidth="1"/>
    <col min="9243" max="9243" width="14.875" bestFit="1" customWidth="1"/>
    <col min="9244" max="9244" width="15.25" bestFit="1" customWidth="1"/>
    <col min="9245" max="9259" width="0" hidden="1" customWidth="1"/>
    <col min="9477" max="9477" width="5.25" customWidth="1"/>
    <col min="9478" max="9478" width="5.75" customWidth="1"/>
    <col min="9479" max="9479" width="26.875" bestFit="1" customWidth="1"/>
    <col min="9480" max="9480" width="31.5" customWidth="1"/>
    <col min="9481" max="9482" width="5.75" customWidth="1"/>
    <col min="9483" max="9483" width="11.125" customWidth="1"/>
    <col min="9484" max="9484" width="19.625" bestFit="1" customWidth="1"/>
    <col min="9485" max="9486" width="19.625" customWidth="1"/>
    <col min="9489" max="9489" width="11.375" bestFit="1" customWidth="1"/>
    <col min="9490" max="9490" width="15" bestFit="1" customWidth="1"/>
    <col min="9491" max="9492" width="0" hidden="1" customWidth="1"/>
    <col min="9493" max="9493" width="13" bestFit="1" customWidth="1"/>
    <col min="9495" max="9495" width="22.5" bestFit="1" customWidth="1"/>
    <col min="9496" max="9496" width="36" bestFit="1" customWidth="1"/>
    <col min="9497" max="9497" width="25.625" bestFit="1" customWidth="1"/>
    <col min="9499" max="9499" width="14.875" bestFit="1" customWidth="1"/>
    <col min="9500" max="9500" width="15.25" bestFit="1" customWidth="1"/>
    <col min="9501" max="9515" width="0" hidden="1" customWidth="1"/>
    <col min="9733" max="9733" width="5.25" customWidth="1"/>
    <col min="9734" max="9734" width="5.75" customWidth="1"/>
    <col min="9735" max="9735" width="26.875" bestFit="1" customWidth="1"/>
    <col min="9736" max="9736" width="31.5" customWidth="1"/>
    <col min="9737" max="9738" width="5.75" customWidth="1"/>
    <col min="9739" max="9739" width="11.125" customWidth="1"/>
    <col min="9740" max="9740" width="19.625" bestFit="1" customWidth="1"/>
    <col min="9741" max="9742" width="19.625" customWidth="1"/>
    <col min="9745" max="9745" width="11.375" bestFit="1" customWidth="1"/>
    <col min="9746" max="9746" width="15" bestFit="1" customWidth="1"/>
    <col min="9747" max="9748" width="0" hidden="1" customWidth="1"/>
    <col min="9749" max="9749" width="13" bestFit="1" customWidth="1"/>
    <col min="9751" max="9751" width="22.5" bestFit="1" customWidth="1"/>
    <col min="9752" max="9752" width="36" bestFit="1" customWidth="1"/>
    <col min="9753" max="9753" width="25.625" bestFit="1" customWidth="1"/>
    <col min="9755" max="9755" width="14.875" bestFit="1" customWidth="1"/>
    <col min="9756" max="9756" width="15.25" bestFit="1" customWidth="1"/>
    <col min="9757" max="9771" width="0" hidden="1" customWidth="1"/>
    <col min="9989" max="9989" width="5.25" customWidth="1"/>
    <col min="9990" max="9990" width="5.75" customWidth="1"/>
    <col min="9991" max="9991" width="26.875" bestFit="1" customWidth="1"/>
    <col min="9992" max="9992" width="31.5" customWidth="1"/>
    <col min="9993" max="9994" width="5.75" customWidth="1"/>
    <col min="9995" max="9995" width="11.125" customWidth="1"/>
    <col min="9996" max="9996" width="19.625" bestFit="1" customWidth="1"/>
    <col min="9997" max="9998" width="19.625" customWidth="1"/>
    <col min="10001" max="10001" width="11.375" bestFit="1" customWidth="1"/>
    <col min="10002" max="10002" width="15" bestFit="1" customWidth="1"/>
    <col min="10003" max="10004" width="0" hidden="1" customWidth="1"/>
    <col min="10005" max="10005" width="13" bestFit="1" customWidth="1"/>
    <col min="10007" max="10007" width="22.5" bestFit="1" customWidth="1"/>
    <col min="10008" max="10008" width="36" bestFit="1" customWidth="1"/>
    <col min="10009" max="10009" width="25.625" bestFit="1" customWidth="1"/>
    <col min="10011" max="10011" width="14.875" bestFit="1" customWidth="1"/>
    <col min="10012" max="10012" width="15.25" bestFit="1" customWidth="1"/>
    <col min="10013" max="10027" width="0" hidden="1" customWidth="1"/>
    <col min="10245" max="10245" width="5.25" customWidth="1"/>
    <col min="10246" max="10246" width="5.75" customWidth="1"/>
    <col min="10247" max="10247" width="26.875" bestFit="1" customWidth="1"/>
    <col min="10248" max="10248" width="31.5" customWidth="1"/>
    <col min="10249" max="10250" width="5.75" customWidth="1"/>
    <col min="10251" max="10251" width="11.125" customWidth="1"/>
    <col min="10252" max="10252" width="19.625" bestFit="1" customWidth="1"/>
    <col min="10253" max="10254" width="19.625" customWidth="1"/>
    <col min="10257" max="10257" width="11.375" bestFit="1" customWidth="1"/>
    <col min="10258" max="10258" width="15" bestFit="1" customWidth="1"/>
    <col min="10259" max="10260" width="0" hidden="1" customWidth="1"/>
    <col min="10261" max="10261" width="13" bestFit="1" customWidth="1"/>
    <col min="10263" max="10263" width="22.5" bestFit="1" customWidth="1"/>
    <col min="10264" max="10264" width="36" bestFit="1" customWidth="1"/>
    <col min="10265" max="10265" width="25.625" bestFit="1" customWidth="1"/>
    <col min="10267" max="10267" width="14.875" bestFit="1" customWidth="1"/>
    <col min="10268" max="10268" width="15.25" bestFit="1" customWidth="1"/>
    <col min="10269" max="10283" width="0" hidden="1" customWidth="1"/>
    <col min="10501" max="10501" width="5.25" customWidth="1"/>
    <col min="10502" max="10502" width="5.75" customWidth="1"/>
    <col min="10503" max="10503" width="26.875" bestFit="1" customWidth="1"/>
    <col min="10504" max="10504" width="31.5" customWidth="1"/>
    <col min="10505" max="10506" width="5.75" customWidth="1"/>
    <col min="10507" max="10507" width="11.125" customWidth="1"/>
    <col min="10508" max="10508" width="19.625" bestFit="1" customWidth="1"/>
    <col min="10509" max="10510" width="19.625" customWidth="1"/>
    <col min="10513" max="10513" width="11.375" bestFit="1" customWidth="1"/>
    <col min="10514" max="10514" width="15" bestFit="1" customWidth="1"/>
    <col min="10515" max="10516" width="0" hidden="1" customWidth="1"/>
    <col min="10517" max="10517" width="13" bestFit="1" customWidth="1"/>
    <col min="10519" max="10519" width="22.5" bestFit="1" customWidth="1"/>
    <col min="10520" max="10520" width="36" bestFit="1" customWidth="1"/>
    <col min="10521" max="10521" width="25.625" bestFit="1" customWidth="1"/>
    <col min="10523" max="10523" width="14.875" bestFit="1" customWidth="1"/>
    <col min="10524" max="10524" width="15.25" bestFit="1" customWidth="1"/>
    <col min="10525" max="10539" width="0" hidden="1" customWidth="1"/>
    <col min="10757" max="10757" width="5.25" customWidth="1"/>
    <col min="10758" max="10758" width="5.75" customWidth="1"/>
    <col min="10759" max="10759" width="26.875" bestFit="1" customWidth="1"/>
    <col min="10760" max="10760" width="31.5" customWidth="1"/>
    <col min="10761" max="10762" width="5.75" customWidth="1"/>
    <col min="10763" max="10763" width="11.125" customWidth="1"/>
    <col min="10764" max="10764" width="19.625" bestFit="1" customWidth="1"/>
    <col min="10765" max="10766" width="19.625" customWidth="1"/>
    <col min="10769" max="10769" width="11.375" bestFit="1" customWidth="1"/>
    <col min="10770" max="10770" width="15" bestFit="1" customWidth="1"/>
    <col min="10771" max="10772" width="0" hidden="1" customWidth="1"/>
    <col min="10773" max="10773" width="13" bestFit="1" customWidth="1"/>
    <col min="10775" max="10775" width="22.5" bestFit="1" customWidth="1"/>
    <col min="10776" max="10776" width="36" bestFit="1" customWidth="1"/>
    <col min="10777" max="10777" width="25.625" bestFit="1" customWidth="1"/>
    <col min="10779" max="10779" width="14.875" bestFit="1" customWidth="1"/>
    <col min="10780" max="10780" width="15.25" bestFit="1" customWidth="1"/>
    <col min="10781" max="10795" width="0" hidden="1" customWidth="1"/>
    <col min="11013" max="11013" width="5.25" customWidth="1"/>
    <col min="11014" max="11014" width="5.75" customWidth="1"/>
    <col min="11015" max="11015" width="26.875" bestFit="1" customWidth="1"/>
    <col min="11016" max="11016" width="31.5" customWidth="1"/>
    <col min="11017" max="11018" width="5.75" customWidth="1"/>
    <col min="11019" max="11019" width="11.125" customWidth="1"/>
    <col min="11020" max="11020" width="19.625" bestFit="1" customWidth="1"/>
    <col min="11021" max="11022" width="19.625" customWidth="1"/>
    <col min="11025" max="11025" width="11.375" bestFit="1" customWidth="1"/>
    <col min="11026" max="11026" width="15" bestFit="1" customWidth="1"/>
    <col min="11027" max="11028" width="0" hidden="1" customWidth="1"/>
    <col min="11029" max="11029" width="13" bestFit="1" customWidth="1"/>
    <col min="11031" max="11031" width="22.5" bestFit="1" customWidth="1"/>
    <col min="11032" max="11032" width="36" bestFit="1" customWidth="1"/>
    <col min="11033" max="11033" width="25.625" bestFit="1" customWidth="1"/>
    <col min="11035" max="11035" width="14.875" bestFit="1" customWidth="1"/>
    <col min="11036" max="11036" width="15.25" bestFit="1" customWidth="1"/>
    <col min="11037" max="11051" width="0" hidden="1" customWidth="1"/>
    <col min="11269" max="11269" width="5.25" customWidth="1"/>
    <col min="11270" max="11270" width="5.75" customWidth="1"/>
    <col min="11271" max="11271" width="26.875" bestFit="1" customWidth="1"/>
    <col min="11272" max="11272" width="31.5" customWidth="1"/>
    <col min="11273" max="11274" width="5.75" customWidth="1"/>
    <col min="11275" max="11275" width="11.125" customWidth="1"/>
    <col min="11276" max="11276" width="19.625" bestFit="1" customWidth="1"/>
    <col min="11277" max="11278" width="19.625" customWidth="1"/>
    <col min="11281" max="11281" width="11.375" bestFit="1" customWidth="1"/>
    <col min="11282" max="11282" width="15" bestFit="1" customWidth="1"/>
    <col min="11283" max="11284" width="0" hidden="1" customWidth="1"/>
    <col min="11285" max="11285" width="13" bestFit="1" customWidth="1"/>
    <col min="11287" max="11287" width="22.5" bestFit="1" customWidth="1"/>
    <col min="11288" max="11288" width="36" bestFit="1" customWidth="1"/>
    <col min="11289" max="11289" width="25.625" bestFit="1" customWidth="1"/>
    <col min="11291" max="11291" width="14.875" bestFit="1" customWidth="1"/>
    <col min="11292" max="11292" width="15.25" bestFit="1" customWidth="1"/>
    <col min="11293" max="11307" width="0" hidden="1" customWidth="1"/>
    <col min="11525" max="11525" width="5.25" customWidth="1"/>
    <col min="11526" max="11526" width="5.75" customWidth="1"/>
    <col min="11527" max="11527" width="26.875" bestFit="1" customWidth="1"/>
    <col min="11528" max="11528" width="31.5" customWidth="1"/>
    <col min="11529" max="11530" width="5.75" customWidth="1"/>
    <col min="11531" max="11531" width="11.125" customWidth="1"/>
    <col min="11532" max="11532" width="19.625" bestFit="1" customWidth="1"/>
    <col min="11533" max="11534" width="19.625" customWidth="1"/>
    <col min="11537" max="11537" width="11.375" bestFit="1" customWidth="1"/>
    <col min="11538" max="11538" width="15" bestFit="1" customWidth="1"/>
    <col min="11539" max="11540" width="0" hidden="1" customWidth="1"/>
    <col min="11541" max="11541" width="13" bestFit="1" customWidth="1"/>
    <col min="11543" max="11543" width="22.5" bestFit="1" customWidth="1"/>
    <col min="11544" max="11544" width="36" bestFit="1" customWidth="1"/>
    <col min="11545" max="11545" width="25.625" bestFit="1" customWidth="1"/>
    <col min="11547" max="11547" width="14.875" bestFit="1" customWidth="1"/>
    <col min="11548" max="11548" width="15.25" bestFit="1" customWidth="1"/>
    <col min="11549" max="11563" width="0" hidden="1" customWidth="1"/>
    <col min="11781" max="11781" width="5.25" customWidth="1"/>
    <col min="11782" max="11782" width="5.75" customWidth="1"/>
    <col min="11783" max="11783" width="26.875" bestFit="1" customWidth="1"/>
    <col min="11784" max="11784" width="31.5" customWidth="1"/>
    <col min="11785" max="11786" width="5.75" customWidth="1"/>
    <col min="11787" max="11787" width="11.125" customWidth="1"/>
    <col min="11788" max="11788" width="19.625" bestFit="1" customWidth="1"/>
    <col min="11789" max="11790" width="19.625" customWidth="1"/>
    <col min="11793" max="11793" width="11.375" bestFit="1" customWidth="1"/>
    <col min="11794" max="11794" width="15" bestFit="1" customWidth="1"/>
    <col min="11795" max="11796" width="0" hidden="1" customWidth="1"/>
    <col min="11797" max="11797" width="13" bestFit="1" customWidth="1"/>
    <col min="11799" max="11799" width="22.5" bestFit="1" customWidth="1"/>
    <col min="11800" max="11800" width="36" bestFit="1" customWidth="1"/>
    <col min="11801" max="11801" width="25.625" bestFit="1" customWidth="1"/>
    <col min="11803" max="11803" width="14.875" bestFit="1" customWidth="1"/>
    <col min="11804" max="11804" width="15.25" bestFit="1" customWidth="1"/>
    <col min="11805" max="11819" width="0" hidden="1" customWidth="1"/>
    <col min="12037" max="12037" width="5.25" customWidth="1"/>
    <col min="12038" max="12038" width="5.75" customWidth="1"/>
    <col min="12039" max="12039" width="26.875" bestFit="1" customWidth="1"/>
    <col min="12040" max="12040" width="31.5" customWidth="1"/>
    <col min="12041" max="12042" width="5.75" customWidth="1"/>
    <col min="12043" max="12043" width="11.125" customWidth="1"/>
    <col min="12044" max="12044" width="19.625" bestFit="1" customWidth="1"/>
    <col min="12045" max="12046" width="19.625" customWidth="1"/>
    <col min="12049" max="12049" width="11.375" bestFit="1" customWidth="1"/>
    <col min="12050" max="12050" width="15" bestFit="1" customWidth="1"/>
    <col min="12051" max="12052" width="0" hidden="1" customWidth="1"/>
    <col min="12053" max="12053" width="13" bestFit="1" customWidth="1"/>
    <col min="12055" max="12055" width="22.5" bestFit="1" customWidth="1"/>
    <col min="12056" max="12056" width="36" bestFit="1" customWidth="1"/>
    <col min="12057" max="12057" width="25.625" bestFit="1" customWidth="1"/>
    <col min="12059" max="12059" width="14.875" bestFit="1" customWidth="1"/>
    <col min="12060" max="12060" width="15.25" bestFit="1" customWidth="1"/>
    <col min="12061" max="12075" width="0" hidden="1" customWidth="1"/>
    <col min="12293" max="12293" width="5.25" customWidth="1"/>
    <col min="12294" max="12294" width="5.75" customWidth="1"/>
    <col min="12295" max="12295" width="26.875" bestFit="1" customWidth="1"/>
    <col min="12296" max="12296" width="31.5" customWidth="1"/>
    <col min="12297" max="12298" width="5.75" customWidth="1"/>
    <col min="12299" max="12299" width="11.125" customWidth="1"/>
    <col min="12300" max="12300" width="19.625" bestFit="1" customWidth="1"/>
    <col min="12301" max="12302" width="19.625" customWidth="1"/>
    <col min="12305" max="12305" width="11.375" bestFit="1" customWidth="1"/>
    <col min="12306" max="12306" width="15" bestFit="1" customWidth="1"/>
    <col min="12307" max="12308" width="0" hidden="1" customWidth="1"/>
    <col min="12309" max="12309" width="13" bestFit="1" customWidth="1"/>
    <col min="12311" max="12311" width="22.5" bestFit="1" customWidth="1"/>
    <col min="12312" max="12312" width="36" bestFit="1" customWidth="1"/>
    <col min="12313" max="12313" width="25.625" bestFit="1" customWidth="1"/>
    <col min="12315" max="12315" width="14.875" bestFit="1" customWidth="1"/>
    <col min="12316" max="12316" width="15.25" bestFit="1" customWidth="1"/>
    <col min="12317" max="12331" width="0" hidden="1" customWidth="1"/>
    <col min="12549" max="12549" width="5.25" customWidth="1"/>
    <col min="12550" max="12550" width="5.75" customWidth="1"/>
    <col min="12551" max="12551" width="26.875" bestFit="1" customWidth="1"/>
    <col min="12552" max="12552" width="31.5" customWidth="1"/>
    <col min="12553" max="12554" width="5.75" customWidth="1"/>
    <col min="12555" max="12555" width="11.125" customWidth="1"/>
    <col min="12556" max="12556" width="19.625" bestFit="1" customWidth="1"/>
    <col min="12557" max="12558" width="19.625" customWidth="1"/>
    <col min="12561" max="12561" width="11.375" bestFit="1" customWidth="1"/>
    <col min="12562" max="12562" width="15" bestFit="1" customWidth="1"/>
    <col min="12563" max="12564" width="0" hidden="1" customWidth="1"/>
    <col min="12565" max="12565" width="13" bestFit="1" customWidth="1"/>
    <col min="12567" max="12567" width="22.5" bestFit="1" customWidth="1"/>
    <col min="12568" max="12568" width="36" bestFit="1" customWidth="1"/>
    <col min="12569" max="12569" width="25.625" bestFit="1" customWidth="1"/>
    <col min="12571" max="12571" width="14.875" bestFit="1" customWidth="1"/>
    <col min="12572" max="12572" width="15.25" bestFit="1" customWidth="1"/>
    <col min="12573" max="12587" width="0" hidden="1" customWidth="1"/>
    <col min="12805" max="12805" width="5.25" customWidth="1"/>
    <col min="12806" max="12806" width="5.75" customWidth="1"/>
    <col min="12807" max="12807" width="26.875" bestFit="1" customWidth="1"/>
    <col min="12808" max="12808" width="31.5" customWidth="1"/>
    <col min="12809" max="12810" width="5.75" customWidth="1"/>
    <col min="12811" max="12811" width="11.125" customWidth="1"/>
    <col min="12812" max="12812" width="19.625" bestFit="1" customWidth="1"/>
    <col min="12813" max="12814" width="19.625" customWidth="1"/>
    <col min="12817" max="12817" width="11.375" bestFit="1" customWidth="1"/>
    <col min="12818" max="12818" width="15" bestFit="1" customWidth="1"/>
    <col min="12819" max="12820" width="0" hidden="1" customWidth="1"/>
    <col min="12821" max="12821" width="13" bestFit="1" customWidth="1"/>
    <col min="12823" max="12823" width="22.5" bestFit="1" customWidth="1"/>
    <col min="12824" max="12824" width="36" bestFit="1" customWidth="1"/>
    <col min="12825" max="12825" width="25.625" bestFit="1" customWidth="1"/>
    <col min="12827" max="12827" width="14.875" bestFit="1" customWidth="1"/>
    <col min="12828" max="12828" width="15.25" bestFit="1" customWidth="1"/>
    <col min="12829" max="12843" width="0" hidden="1" customWidth="1"/>
    <col min="13061" max="13061" width="5.25" customWidth="1"/>
    <col min="13062" max="13062" width="5.75" customWidth="1"/>
    <col min="13063" max="13063" width="26.875" bestFit="1" customWidth="1"/>
    <col min="13064" max="13064" width="31.5" customWidth="1"/>
    <col min="13065" max="13066" width="5.75" customWidth="1"/>
    <col min="13067" max="13067" width="11.125" customWidth="1"/>
    <col min="13068" max="13068" width="19.625" bestFit="1" customWidth="1"/>
    <col min="13069" max="13070" width="19.625" customWidth="1"/>
    <col min="13073" max="13073" width="11.375" bestFit="1" customWidth="1"/>
    <col min="13074" max="13074" width="15" bestFit="1" customWidth="1"/>
    <col min="13075" max="13076" width="0" hidden="1" customWidth="1"/>
    <col min="13077" max="13077" width="13" bestFit="1" customWidth="1"/>
    <col min="13079" max="13079" width="22.5" bestFit="1" customWidth="1"/>
    <col min="13080" max="13080" width="36" bestFit="1" customWidth="1"/>
    <col min="13081" max="13081" width="25.625" bestFit="1" customWidth="1"/>
    <col min="13083" max="13083" width="14.875" bestFit="1" customWidth="1"/>
    <col min="13084" max="13084" width="15.25" bestFit="1" customWidth="1"/>
    <col min="13085" max="13099" width="0" hidden="1" customWidth="1"/>
    <col min="13317" max="13317" width="5.25" customWidth="1"/>
    <col min="13318" max="13318" width="5.75" customWidth="1"/>
    <col min="13319" max="13319" width="26.875" bestFit="1" customWidth="1"/>
    <col min="13320" max="13320" width="31.5" customWidth="1"/>
    <col min="13321" max="13322" width="5.75" customWidth="1"/>
    <col min="13323" max="13323" width="11.125" customWidth="1"/>
    <col min="13324" max="13324" width="19.625" bestFit="1" customWidth="1"/>
    <col min="13325" max="13326" width="19.625" customWidth="1"/>
    <col min="13329" max="13329" width="11.375" bestFit="1" customWidth="1"/>
    <col min="13330" max="13330" width="15" bestFit="1" customWidth="1"/>
    <col min="13331" max="13332" width="0" hidden="1" customWidth="1"/>
    <col min="13333" max="13333" width="13" bestFit="1" customWidth="1"/>
    <col min="13335" max="13335" width="22.5" bestFit="1" customWidth="1"/>
    <col min="13336" max="13336" width="36" bestFit="1" customWidth="1"/>
    <col min="13337" max="13337" width="25.625" bestFit="1" customWidth="1"/>
    <col min="13339" max="13339" width="14.875" bestFit="1" customWidth="1"/>
    <col min="13340" max="13340" width="15.25" bestFit="1" customWidth="1"/>
    <col min="13341" max="13355" width="0" hidden="1" customWidth="1"/>
    <col min="13573" max="13573" width="5.25" customWidth="1"/>
    <col min="13574" max="13574" width="5.75" customWidth="1"/>
    <col min="13575" max="13575" width="26.875" bestFit="1" customWidth="1"/>
    <col min="13576" max="13576" width="31.5" customWidth="1"/>
    <col min="13577" max="13578" width="5.75" customWidth="1"/>
    <col min="13579" max="13579" width="11.125" customWidth="1"/>
    <col min="13580" max="13580" width="19.625" bestFit="1" customWidth="1"/>
    <col min="13581" max="13582" width="19.625" customWidth="1"/>
    <col min="13585" max="13585" width="11.375" bestFit="1" customWidth="1"/>
    <col min="13586" max="13586" width="15" bestFit="1" customWidth="1"/>
    <col min="13587" max="13588" width="0" hidden="1" customWidth="1"/>
    <col min="13589" max="13589" width="13" bestFit="1" customWidth="1"/>
    <col min="13591" max="13591" width="22.5" bestFit="1" customWidth="1"/>
    <col min="13592" max="13592" width="36" bestFit="1" customWidth="1"/>
    <col min="13593" max="13593" width="25.625" bestFit="1" customWidth="1"/>
    <col min="13595" max="13595" width="14.875" bestFit="1" customWidth="1"/>
    <col min="13596" max="13596" width="15.25" bestFit="1" customWidth="1"/>
    <col min="13597" max="13611" width="0" hidden="1" customWidth="1"/>
    <col min="13829" max="13829" width="5.25" customWidth="1"/>
    <col min="13830" max="13830" width="5.75" customWidth="1"/>
    <col min="13831" max="13831" width="26.875" bestFit="1" customWidth="1"/>
    <col min="13832" max="13832" width="31.5" customWidth="1"/>
    <col min="13833" max="13834" width="5.75" customWidth="1"/>
    <col min="13835" max="13835" width="11.125" customWidth="1"/>
    <col min="13836" max="13836" width="19.625" bestFit="1" customWidth="1"/>
    <col min="13837" max="13838" width="19.625" customWidth="1"/>
    <col min="13841" max="13841" width="11.375" bestFit="1" customWidth="1"/>
    <col min="13842" max="13842" width="15" bestFit="1" customWidth="1"/>
    <col min="13843" max="13844" width="0" hidden="1" customWidth="1"/>
    <col min="13845" max="13845" width="13" bestFit="1" customWidth="1"/>
    <col min="13847" max="13847" width="22.5" bestFit="1" customWidth="1"/>
    <col min="13848" max="13848" width="36" bestFit="1" customWidth="1"/>
    <col min="13849" max="13849" width="25.625" bestFit="1" customWidth="1"/>
    <col min="13851" max="13851" width="14.875" bestFit="1" customWidth="1"/>
    <col min="13852" max="13852" width="15.25" bestFit="1" customWidth="1"/>
    <col min="13853" max="13867" width="0" hidden="1" customWidth="1"/>
    <col min="14085" max="14085" width="5.25" customWidth="1"/>
    <col min="14086" max="14086" width="5.75" customWidth="1"/>
    <col min="14087" max="14087" width="26.875" bestFit="1" customWidth="1"/>
    <col min="14088" max="14088" width="31.5" customWidth="1"/>
    <col min="14089" max="14090" width="5.75" customWidth="1"/>
    <col min="14091" max="14091" width="11.125" customWidth="1"/>
    <col min="14092" max="14092" width="19.625" bestFit="1" customWidth="1"/>
    <col min="14093" max="14094" width="19.625" customWidth="1"/>
    <col min="14097" max="14097" width="11.375" bestFit="1" customWidth="1"/>
    <col min="14098" max="14098" width="15" bestFit="1" customWidth="1"/>
    <col min="14099" max="14100" width="0" hidden="1" customWidth="1"/>
    <col min="14101" max="14101" width="13" bestFit="1" customWidth="1"/>
    <col min="14103" max="14103" width="22.5" bestFit="1" customWidth="1"/>
    <col min="14104" max="14104" width="36" bestFit="1" customWidth="1"/>
    <col min="14105" max="14105" width="25.625" bestFit="1" customWidth="1"/>
    <col min="14107" max="14107" width="14.875" bestFit="1" customWidth="1"/>
    <col min="14108" max="14108" width="15.25" bestFit="1" customWidth="1"/>
    <col min="14109" max="14123" width="0" hidden="1" customWidth="1"/>
    <col min="14341" max="14341" width="5.25" customWidth="1"/>
    <col min="14342" max="14342" width="5.75" customWidth="1"/>
    <col min="14343" max="14343" width="26.875" bestFit="1" customWidth="1"/>
    <col min="14344" max="14344" width="31.5" customWidth="1"/>
    <col min="14345" max="14346" width="5.75" customWidth="1"/>
    <col min="14347" max="14347" width="11.125" customWidth="1"/>
    <col min="14348" max="14348" width="19.625" bestFit="1" customWidth="1"/>
    <col min="14349" max="14350" width="19.625" customWidth="1"/>
    <col min="14353" max="14353" width="11.375" bestFit="1" customWidth="1"/>
    <col min="14354" max="14354" width="15" bestFit="1" customWidth="1"/>
    <col min="14355" max="14356" width="0" hidden="1" customWidth="1"/>
    <col min="14357" max="14357" width="13" bestFit="1" customWidth="1"/>
    <col min="14359" max="14359" width="22.5" bestFit="1" customWidth="1"/>
    <col min="14360" max="14360" width="36" bestFit="1" customWidth="1"/>
    <col min="14361" max="14361" width="25.625" bestFit="1" customWidth="1"/>
    <col min="14363" max="14363" width="14.875" bestFit="1" customWidth="1"/>
    <col min="14364" max="14364" width="15.25" bestFit="1" customWidth="1"/>
    <col min="14365" max="14379" width="0" hidden="1" customWidth="1"/>
    <col min="14597" max="14597" width="5.25" customWidth="1"/>
    <col min="14598" max="14598" width="5.75" customWidth="1"/>
    <col min="14599" max="14599" width="26.875" bestFit="1" customWidth="1"/>
    <col min="14600" max="14600" width="31.5" customWidth="1"/>
    <col min="14601" max="14602" width="5.75" customWidth="1"/>
    <col min="14603" max="14603" width="11.125" customWidth="1"/>
    <col min="14604" max="14604" width="19.625" bestFit="1" customWidth="1"/>
    <col min="14605" max="14606" width="19.625" customWidth="1"/>
    <col min="14609" max="14609" width="11.375" bestFit="1" customWidth="1"/>
    <col min="14610" max="14610" width="15" bestFit="1" customWidth="1"/>
    <col min="14611" max="14612" width="0" hidden="1" customWidth="1"/>
    <col min="14613" max="14613" width="13" bestFit="1" customWidth="1"/>
    <col min="14615" max="14615" width="22.5" bestFit="1" customWidth="1"/>
    <col min="14616" max="14616" width="36" bestFit="1" customWidth="1"/>
    <col min="14617" max="14617" width="25.625" bestFit="1" customWidth="1"/>
    <col min="14619" max="14619" width="14.875" bestFit="1" customWidth="1"/>
    <col min="14620" max="14620" width="15.25" bestFit="1" customWidth="1"/>
    <col min="14621" max="14635" width="0" hidden="1" customWidth="1"/>
    <col min="14853" max="14853" width="5.25" customWidth="1"/>
    <col min="14854" max="14854" width="5.75" customWidth="1"/>
    <col min="14855" max="14855" width="26.875" bestFit="1" customWidth="1"/>
    <col min="14856" max="14856" width="31.5" customWidth="1"/>
    <col min="14857" max="14858" width="5.75" customWidth="1"/>
    <col min="14859" max="14859" width="11.125" customWidth="1"/>
    <col min="14860" max="14860" width="19.625" bestFit="1" customWidth="1"/>
    <col min="14861" max="14862" width="19.625" customWidth="1"/>
    <col min="14865" max="14865" width="11.375" bestFit="1" customWidth="1"/>
    <col min="14866" max="14866" width="15" bestFit="1" customWidth="1"/>
    <col min="14867" max="14868" width="0" hidden="1" customWidth="1"/>
    <col min="14869" max="14869" width="13" bestFit="1" customWidth="1"/>
    <col min="14871" max="14871" width="22.5" bestFit="1" customWidth="1"/>
    <col min="14872" max="14872" width="36" bestFit="1" customWidth="1"/>
    <col min="14873" max="14873" width="25.625" bestFit="1" customWidth="1"/>
    <col min="14875" max="14875" width="14.875" bestFit="1" customWidth="1"/>
    <col min="14876" max="14876" width="15.25" bestFit="1" customWidth="1"/>
    <col min="14877" max="14891" width="0" hidden="1" customWidth="1"/>
    <col min="15109" max="15109" width="5.25" customWidth="1"/>
    <col min="15110" max="15110" width="5.75" customWidth="1"/>
    <col min="15111" max="15111" width="26.875" bestFit="1" customWidth="1"/>
    <col min="15112" max="15112" width="31.5" customWidth="1"/>
    <col min="15113" max="15114" width="5.75" customWidth="1"/>
    <col min="15115" max="15115" width="11.125" customWidth="1"/>
    <col min="15116" max="15116" width="19.625" bestFit="1" customWidth="1"/>
    <col min="15117" max="15118" width="19.625" customWidth="1"/>
    <col min="15121" max="15121" width="11.375" bestFit="1" customWidth="1"/>
    <col min="15122" max="15122" width="15" bestFit="1" customWidth="1"/>
    <col min="15123" max="15124" width="0" hidden="1" customWidth="1"/>
    <col min="15125" max="15125" width="13" bestFit="1" customWidth="1"/>
    <col min="15127" max="15127" width="22.5" bestFit="1" customWidth="1"/>
    <col min="15128" max="15128" width="36" bestFit="1" customWidth="1"/>
    <col min="15129" max="15129" width="25.625" bestFit="1" customWidth="1"/>
    <col min="15131" max="15131" width="14.875" bestFit="1" customWidth="1"/>
    <col min="15132" max="15132" width="15.25" bestFit="1" customWidth="1"/>
    <col min="15133" max="15147" width="0" hidden="1" customWidth="1"/>
    <col min="15365" max="15365" width="5.25" customWidth="1"/>
    <col min="15366" max="15366" width="5.75" customWidth="1"/>
    <col min="15367" max="15367" width="26.875" bestFit="1" customWidth="1"/>
    <col min="15368" max="15368" width="31.5" customWidth="1"/>
    <col min="15369" max="15370" width="5.75" customWidth="1"/>
    <col min="15371" max="15371" width="11.125" customWidth="1"/>
    <col min="15372" max="15372" width="19.625" bestFit="1" customWidth="1"/>
    <col min="15373" max="15374" width="19.625" customWidth="1"/>
    <col min="15377" max="15377" width="11.375" bestFit="1" customWidth="1"/>
    <col min="15378" max="15378" width="15" bestFit="1" customWidth="1"/>
    <col min="15379" max="15380" width="0" hidden="1" customWidth="1"/>
    <col min="15381" max="15381" width="13" bestFit="1" customWidth="1"/>
    <col min="15383" max="15383" width="22.5" bestFit="1" customWidth="1"/>
    <col min="15384" max="15384" width="36" bestFit="1" customWidth="1"/>
    <col min="15385" max="15385" width="25.625" bestFit="1" customWidth="1"/>
    <col min="15387" max="15387" width="14.875" bestFit="1" customWidth="1"/>
    <col min="15388" max="15388" width="15.25" bestFit="1" customWidth="1"/>
    <col min="15389" max="15403" width="0" hidden="1" customWidth="1"/>
    <col min="15621" max="15621" width="5.25" customWidth="1"/>
    <col min="15622" max="15622" width="5.75" customWidth="1"/>
    <col min="15623" max="15623" width="26.875" bestFit="1" customWidth="1"/>
    <col min="15624" max="15624" width="31.5" customWidth="1"/>
    <col min="15625" max="15626" width="5.75" customWidth="1"/>
    <col min="15627" max="15627" width="11.125" customWidth="1"/>
    <col min="15628" max="15628" width="19.625" bestFit="1" customWidth="1"/>
    <col min="15629" max="15630" width="19.625" customWidth="1"/>
    <col min="15633" max="15633" width="11.375" bestFit="1" customWidth="1"/>
    <col min="15634" max="15634" width="15" bestFit="1" customWidth="1"/>
    <col min="15635" max="15636" width="0" hidden="1" customWidth="1"/>
    <col min="15637" max="15637" width="13" bestFit="1" customWidth="1"/>
    <col min="15639" max="15639" width="22.5" bestFit="1" customWidth="1"/>
    <col min="15640" max="15640" width="36" bestFit="1" customWidth="1"/>
    <col min="15641" max="15641" width="25.625" bestFit="1" customWidth="1"/>
    <col min="15643" max="15643" width="14.875" bestFit="1" customWidth="1"/>
    <col min="15644" max="15644" width="15.25" bestFit="1" customWidth="1"/>
    <col min="15645" max="15659" width="0" hidden="1" customWidth="1"/>
    <col min="15877" max="15877" width="5.25" customWidth="1"/>
    <col min="15878" max="15878" width="5.75" customWidth="1"/>
    <col min="15879" max="15879" width="26.875" bestFit="1" customWidth="1"/>
    <col min="15880" max="15880" width="31.5" customWidth="1"/>
    <col min="15881" max="15882" width="5.75" customWidth="1"/>
    <col min="15883" max="15883" width="11.125" customWidth="1"/>
    <col min="15884" max="15884" width="19.625" bestFit="1" customWidth="1"/>
    <col min="15885" max="15886" width="19.625" customWidth="1"/>
    <col min="15889" max="15889" width="11.375" bestFit="1" customWidth="1"/>
    <col min="15890" max="15890" width="15" bestFit="1" customWidth="1"/>
    <col min="15891" max="15892" width="0" hidden="1" customWidth="1"/>
    <col min="15893" max="15893" width="13" bestFit="1" customWidth="1"/>
    <col min="15895" max="15895" width="22.5" bestFit="1" customWidth="1"/>
    <col min="15896" max="15896" width="36" bestFit="1" customWidth="1"/>
    <col min="15897" max="15897" width="25.625" bestFit="1" customWidth="1"/>
    <col min="15899" max="15899" width="14.875" bestFit="1" customWidth="1"/>
    <col min="15900" max="15900" width="15.25" bestFit="1" customWidth="1"/>
    <col min="15901" max="15915" width="0" hidden="1" customWidth="1"/>
    <col min="16133" max="16133" width="5.25" customWidth="1"/>
    <col min="16134" max="16134" width="5.75" customWidth="1"/>
    <col min="16135" max="16135" width="26.875" bestFit="1" customWidth="1"/>
    <col min="16136" max="16136" width="31.5" customWidth="1"/>
    <col min="16137" max="16138" width="5.75" customWidth="1"/>
    <col min="16139" max="16139" width="11.125" customWidth="1"/>
    <col min="16140" max="16140" width="19.625" bestFit="1" customWidth="1"/>
    <col min="16141" max="16142" width="19.625" customWidth="1"/>
    <col min="16145" max="16145" width="11.375" bestFit="1" customWidth="1"/>
    <col min="16146" max="16146" width="15" bestFit="1" customWidth="1"/>
    <col min="16147" max="16148" width="0" hidden="1" customWidth="1"/>
    <col min="16149" max="16149" width="13" bestFit="1" customWidth="1"/>
    <col min="16151" max="16151" width="22.5" bestFit="1" customWidth="1"/>
    <col min="16152" max="16152" width="36" bestFit="1" customWidth="1"/>
    <col min="16153" max="16153" width="25.625" bestFit="1" customWidth="1"/>
    <col min="16155" max="16155" width="14.875" bestFit="1" customWidth="1"/>
    <col min="16156" max="16156" width="15.25" bestFit="1" customWidth="1"/>
    <col min="16157" max="16171" width="0" hidden="1" customWidth="1"/>
  </cols>
  <sheetData>
    <row r="1" spans="1:43">
      <c r="AA1" t="s">
        <v>0</v>
      </c>
    </row>
    <row r="2" spans="1:43" ht="27.75" customHeight="1">
      <c r="A2" s="2" t="s">
        <v>1</v>
      </c>
      <c r="D2" s="3"/>
      <c r="E2" s="3"/>
      <c r="F2" s="3"/>
      <c r="G2" s="3"/>
      <c r="H2" s="3"/>
      <c r="AA2" s="4" t="s">
        <v>2</v>
      </c>
      <c r="AB2" s="4" t="s">
        <v>3</v>
      </c>
    </row>
    <row r="3" spans="1:43" ht="63" customHeight="1">
      <c r="A3" s="2"/>
      <c r="AA3" s="4"/>
      <c r="AB3" s="5"/>
    </row>
    <row r="4" spans="1:43" ht="22.9" customHeight="1">
      <c r="A4" s="2"/>
      <c r="C4" s="3" t="s">
        <v>495</v>
      </c>
      <c r="D4" s="41">
        <v>45930</v>
      </c>
      <c r="AA4" s="3" t="s">
        <v>4</v>
      </c>
      <c r="AB4" s="6">
        <v>44207</v>
      </c>
    </row>
    <row r="5" spans="1:43" s="1" customFormat="1">
      <c r="A5" s="7"/>
      <c r="B5" s="7" t="s">
        <v>5</v>
      </c>
      <c r="C5" s="7" t="s">
        <v>498</v>
      </c>
      <c r="D5" s="7" t="s">
        <v>6</v>
      </c>
      <c r="E5" s="8" t="s">
        <v>7</v>
      </c>
      <c r="F5" s="8" t="s">
        <v>8</v>
      </c>
      <c r="G5" s="8" t="s">
        <v>9</v>
      </c>
      <c r="H5" s="8" t="s">
        <v>492</v>
      </c>
      <c r="I5" s="7" t="s">
        <v>10</v>
      </c>
      <c r="J5" s="8" t="s">
        <v>11</v>
      </c>
      <c r="K5" s="8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9" t="s">
        <v>574</v>
      </c>
      <c r="Q5" s="10" t="s">
        <v>17</v>
      </c>
      <c r="R5" s="7" t="s">
        <v>18</v>
      </c>
      <c r="S5" s="7" t="s">
        <v>19</v>
      </c>
      <c r="T5" s="7" t="s">
        <v>20</v>
      </c>
      <c r="U5" s="7" t="s">
        <v>496</v>
      </c>
      <c r="V5" s="7" t="s">
        <v>499</v>
      </c>
      <c r="W5" s="7" t="s">
        <v>497</v>
      </c>
      <c r="X5" s="7" t="s">
        <v>21</v>
      </c>
      <c r="Y5" s="7" t="s">
        <v>22</v>
      </c>
      <c r="Z5" s="7" t="s">
        <v>23</v>
      </c>
      <c r="AA5" s="7" t="s">
        <v>24</v>
      </c>
      <c r="AB5" s="7" t="s">
        <v>25</v>
      </c>
      <c r="AC5" s="11" t="s">
        <v>26</v>
      </c>
      <c r="AD5" s="11" t="s">
        <v>27</v>
      </c>
      <c r="AE5" s="11" t="s">
        <v>28</v>
      </c>
      <c r="AF5" s="11" t="s">
        <v>29</v>
      </c>
      <c r="AG5" s="11" t="s">
        <v>30</v>
      </c>
      <c r="AH5" s="11" t="s">
        <v>31</v>
      </c>
      <c r="AI5" s="11" t="s">
        <v>32</v>
      </c>
      <c r="AJ5" s="11" t="s">
        <v>33</v>
      </c>
      <c r="AK5" s="11" t="s">
        <v>34</v>
      </c>
      <c r="AL5" s="11" t="s">
        <v>35</v>
      </c>
      <c r="AM5" s="11" t="s">
        <v>36</v>
      </c>
      <c r="AN5" s="11" t="s">
        <v>37</v>
      </c>
      <c r="AO5" s="11" t="s">
        <v>38</v>
      </c>
      <c r="AP5" s="11" t="s">
        <v>39</v>
      </c>
      <c r="AQ5" s="11" t="s">
        <v>40</v>
      </c>
    </row>
    <row r="6" spans="1:43">
      <c r="A6" s="12"/>
      <c r="B6" s="7"/>
      <c r="C6" s="12" t="s">
        <v>41</v>
      </c>
      <c r="D6" s="12"/>
      <c r="E6" s="12"/>
      <c r="F6" s="45"/>
      <c r="G6" s="12"/>
      <c r="H6" s="12"/>
      <c r="I6" s="12"/>
      <c r="J6" s="12"/>
      <c r="K6" s="12"/>
      <c r="L6" s="7"/>
      <c r="M6" s="7"/>
      <c r="N6" s="13" t="s">
        <v>42</v>
      </c>
      <c r="O6" s="7"/>
      <c r="P6" s="9"/>
      <c r="Q6" s="10"/>
      <c r="R6" s="10"/>
      <c r="S6" s="10"/>
      <c r="T6" s="10"/>
      <c r="U6" s="10"/>
      <c r="V6" s="10"/>
      <c r="W6" s="7"/>
      <c r="X6" s="12" t="s">
        <v>21</v>
      </c>
      <c r="Y6" s="12"/>
      <c r="Z6" s="12"/>
      <c r="AA6" s="12"/>
      <c r="AB6" s="12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</row>
    <row r="7" spans="1:43">
      <c r="A7" s="12">
        <v>1</v>
      </c>
      <c r="B7" s="12">
        <v>85</v>
      </c>
      <c r="C7" s="12" t="s">
        <v>43</v>
      </c>
      <c r="D7" s="15" t="s">
        <v>44</v>
      </c>
      <c r="E7" s="37">
        <v>44977</v>
      </c>
      <c r="F7" s="46">
        <v>45845</v>
      </c>
      <c r="G7" s="7" t="s">
        <v>471</v>
      </c>
      <c r="H7" s="7" t="s">
        <v>493</v>
      </c>
      <c r="I7" s="12" t="s">
        <v>45</v>
      </c>
      <c r="J7" s="16">
        <v>46235</v>
      </c>
      <c r="K7" s="8" t="s">
        <v>46</v>
      </c>
      <c r="L7" s="7" t="s">
        <v>47</v>
      </c>
      <c r="M7" s="7" t="s">
        <v>47</v>
      </c>
      <c r="N7" s="7" t="s">
        <v>48</v>
      </c>
      <c r="O7" s="7" t="s">
        <v>113</v>
      </c>
      <c r="P7" s="17">
        <f>SUMIFS('2024'!J:J,'2024'!C:C,Sheet1!D7)</f>
        <v>198836389</v>
      </c>
      <c r="Q7" s="7" t="s">
        <v>49</v>
      </c>
      <c r="R7" s="7" t="s">
        <v>47</v>
      </c>
      <c r="S7" s="7" t="s">
        <v>50</v>
      </c>
      <c r="T7" s="7" t="s">
        <v>51</v>
      </c>
      <c r="U7" s="7" t="s">
        <v>497</v>
      </c>
      <c r="V7" s="7" t="s">
        <v>500</v>
      </c>
      <c r="W7" s="44" t="s">
        <v>507</v>
      </c>
      <c r="X7" s="18" t="s">
        <v>52</v>
      </c>
      <c r="Y7" s="19"/>
      <c r="Z7" s="12" t="s">
        <v>53</v>
      </c>
      <c r="AA7" s="12" t="s">
        <v>54</v>
      </c>
      <c r="AB7" s="12" t="s">
        <v>55</v>
      </c>
      <c r="AC7" s="14"/>
      <c r="AD7" s="14">
        <v>0</v>
      </c>
      <c r="AE7" s="14" t="s">
        <v>56</v>
      </c>
      <c r="AF7" s="14" t="b">
        <v>0</v>
      </c>
      <c r="AG7" s="14"/>
      <c r="AH7" s="14" t="s">
        <v>57</v>
      </c>
      <c r="AI7" s="14"/>
      <c r="AJ7" s="14" t="s">
        <v>58</v>
      </c>
      <c r="AK7" s="14">
        <v>3</v>
      </c>
      <c r="AL7" s="14" t="s">
        <v>59</v>
      </c>
      <c r="AM7" s="14" t="s">
        <v>60</v>
      </c>
      <c r="AN7" s="14">
        <v>0</v>
      </c>
      <c r="AO7" s="14" t="b">
        <v>0</v>
      </c>
      <c r="AP7" s="14">
        <v>3</v>
      </c>
      <c r="AQ7" s="14" t="b">
        <v>0</v>
      </c>
    </row>
    <row r="8" spans="1:43">
      <c r="A8" s="12">
        <v>2</v>
      </c>
      <c r="B8" s="12">
        <v>85</v>
      </c>
      <c r="C8" s="12" t="s">
        <v>43</v>
      </c>
      <c r="D8" s="15" t="s">
        <v>61</v>
      </c>
      <c r="E8" s="37">
        <v>45015</v>
      </c>
      <c r="F8" s="46">
        <v>45392</v>
      </c>
      <c r="G8" s="7" t="s">
        <v>471</v>
      </c>
      <c r="H8" s="7" t="s">
        <v>493</v>
      </c>
      <c r="I8" s="12" t="s">
        <v>45</v>
      </c>
      <c r="J8" s="16">
        <v>45713</v>
      </c>
      <c r="K8" s="8" t="s">
        <v>62</v>
      </c>
      <c r="L8" s="7" t="s">
        <v>47</v>
      </c>
      <c r="M8" s="7" t="s">
        <v>47</v>
      </c>
      <c r="N8" s="7" t="s">
        <v>48</v>
      </c>
      <c r="O8" s="7" t="s">
        <v>113</v>
      </c>
      <c r="P8" s="17">
        <f>SUMIFS('2024'!J:J,'2024'!C:C,Sheet1!D8)</f>
        <v>49831705</v>
      </c>
      <c r="Q8" s="7"/>
      <c r="R8" s="7" t="s">
        <v>47</v>
      </c>
      <c r="S8" s="7" t="s">
        <v>50</v>
      </c>
      <c r="T8" s="7" t="s">
        <v>51</v>
      </c>
      <c r="U8" s="7" t="s">
        <v>497</v>
      </c>
      <c r="V8" s="7" t="s">
        <v>500</v>
      </c>
      <c r="W8" s="44" t="s">
        <v>507</v>
      </c>
      <c r="X8" s="18" t="s">
        <v>63</v>
      </c>
      <c r="Y8" s="19"/>
      <c r="Z8" s="12"/>
      <c r="AA8" s="12"/>
      <c r="AB8" s="12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</row>
    <row r="9" spans="1:43" ht="19.5" customHeight="1">
      <c r="A9" s="12">
        <v>3</v>
      </c>
      <c r="B9" s="12">
        <v>85</v>
      </c>
      <c r="C9" s="12" t="s">
        <v>43</v>
      </c>
      <c r="D9" s="15" t="s">
        <v>64</v>
      </c>
      <c r="E9" s="37">
        <v>44967</v>
      </c>
      <c r="F9" s="46">
        <v>45397</v>
      </c>
      <c r="G9" s="7" t="s">
        <v>471</v>
      </c>
      <c r="H9" s="7" t="s">
        <v>493</v>
      </c>
      <c r="I9" s="12" t="s">
        <v>45</v>
      </c>
      <c r="J9" s="20" t="s">
        <v>65</v>
      </c>
      <c r="K9" s="8" t="s">
        <v>66</v>
      </c>
      <c r="L9" s="7" t="s">
        <v>47</v>
      </c>
      <c r="M9" s="7" t="s">
        <v>47</v>
      </c>
      <c r="N9" s="7" t="s">
        <v>48</v>
      </c>
      <c r="O9" s="7" t="s">
        <v>113</v>
      </c>
      <c r="P9" s="17">
        <f>SUMIFS('2024'!J:J,'2024'!C:C,Sheet1!D9)</f>
        <v>29643051</v>
      </c>
      <c r="Q9" s="12"/>
      <c r="R9" s="7" t="s">
        <v>47</v>
      </c>
      <c r="S9" s="7" t="s">
        <v>50</v>
      </c>
      <c r="T9" s="7" t="s">
        <v>51</v>
      </c>
      <c r="U9" s="7" t="s">
        <v>497</v>
      </c>
      <c r="V9" s="7" t="s">
        <v>500</v>
      </c>
      <c r="W9" s="44" t="s">
        <v>507</v>
      </c>
      <c r="X9" s="18"/>
      <c r="Y9" s="19"/>
      <c r="Z9" s="12"/>
      <c r="AA9" s="12"/>
      <c r="AB9" s="12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</row>
    <row r="10" spans="1:43">
      <c r="A10" s="12">
        <v>4</v>
      </c>
      <c r="B10" s="12">
        <v>85</v>
      </c>
      <c r="C10" s="12" t="s">
        <v>43</v>
      </c>
      <c r="D10" s="15" t="s">
        <v>67</v>
      </c>
      <c r="E10" s="37">
        <v>44944</v>
      </c>
      <c r="F10" s="46">
        <v>45856</v>
      </c>
      <c r="G10" s="7" t="s">
        <v>471</v>
      </c>
      <c r="H10" s="7" t="s">
        <v>493</v>
      </c>
      <c r="I10" s="21" t="s">
        <v>68</v>
      </c>
      <c r="J10" s="21"/>
      <c r="K10" s="22"/>
      <c r="L10" s="7" t="s">
        <v>47</v>
      </c>
      <c r="M10" s="7" t="s">
        <v>47</v>
      </c>
      <c r="N10" s="7" t="s">
        <v>47</v>
      </c>
      <c r="O10" s="7" t="s">
        <v>47</v>
      </c>
      <c r="P10" s="17">
        <f>SUMIFS('2024'!J:J,'2024'!C:C,Sheet1!D10)</f>
        <v>236368</v>
      </c>
      <c r="Q10" s="12"/>
      <c r="R10" s="7" t="s">
        <v>47</v>
      </c>
      <c r="S10" s="7" t="s">
        <v>50</v>
      </c>
      <c r="T10" s="7" t="s">
        <v>51</v>
      </c>
      <c r="U10" s="7" t="s">
        <v>497</v>
      </c>
      <c r="V10" s="7" t="s">
        <v>500</v>
      </c>
      <c r="W10" s="44" t="s">
        <v>507</v>
      </c>
      <c r="X10" s="18"/>
      <c r="Y10" s="19"/>
      <c r="Z10" s="12"/>
      <c r="AA10" s="12"/>
      <c r="AB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</row>
    <row r="11" spans="1:43">
      <c r="A11" s="12">
        <v>5</v>
      </c>
      <c r="B11" s="12">
        <v>85</v>
      </c>
      <c r="C11" s="12" t="s">
        <v>681</v>
      </c>
      <c r="D11" s="15" t="s">
        <v>487</v>
      </c>
      <c r="E11" s="37">
        <v>44951</v>
      </c>
      <c r="F11" s="47"/>
      <c r="G11" s="7" t="s">
        <v>471</v>
      </c>
      <c r="H11" s="7" t="s">
        <v>493</v>
      </c>
      <c r="I11" s="12" t="s">
        <v>45</v>
      </c>
      <c r="J11" s="23">
        <v>46784</v>
      </c>
      <c r="K11" s="8" t="s">
        <v>759</v>
      </c>
      <c r="L11" s="7" t="s">
        <v>47</v>
      </c>
      <c r="M11" s="7" t="s">
        <v>47</v>
      </c>
      <c r="N11" s="7" t="s">
        <v>48</v>
      </c>
      <c r="O11" s="7" t="s">
        <v>113</v>
      </c>
      <c r="P11" s="17">
        <f>SUMIFS('2024'!J:J,'2024'!C:C,Sheet1!D11)</f>
        <v>623186</v>
      </c>
      <c r="Q11" s="12"/>
      <c r="R11" s="7" t="s">
        <v>47</v>
      </c>
      <c r="S11" s="7" t="s">
        <v>50</v>
      </c>
      <c r="T11" s="7" t="s">
        <v>51</v>
      </c>
      <c r="U11" s="7" t="s">
        <v>497</v>
      </c>
      <c r="V11" s="7" t="s">
        <v>500</v>
      </c>
      <c r="W11" s="44" t="s">
        <v>507</v>
      </c>
      <c r="X11" s="18"/>
      <c r="Y11" s="19"/>
      <c r="Z11" s="12"/>
      <c r="AA11" s="12"/>
      <c r="AB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</row>
    <row r="12" spans="1:43">
      <c r="A12" s="12">
        <v>6</v>
      </c>
      <c r="B12" s="12">
        <v>1055</v>
      </c>
      <c r="C12" s="15" t="s">
        <v>69</v>
      </c>
      <c r="D12" s="15" t="s">
        <v>70</v>
      </c>
      <c r="E12" s="37">
        <v>44958</v>
      </c>
      <c r="F12" s="46">
        <v>45863</v>
      </c>
      <c r="G12" s="7" t="s">
        <v>471</v>
      </c>
      <c r="H12" s="7" t="s">
        <v>493</v>
      </c>
      <c r="I12" s="12" t="s">
        <v>45</v>
      </c>
      <c r="J12" s="23">
        <v>46299</v>
      </c>
      <c r="K12" s="8" t="s">
        <v>71</v>
      </c>
      <c r="L12" s="7" t="s">
        <v>47</v>
      </c>
      <c r="M12" s="7" t="s">
        <v>47</v>
      </c>
      <c r="N12" s="7" t="s">
        <v>48</v>
      </c>
      <c r="O12" s="7" t="s">
        <v>113</v>
      </c>
      <c r="P12" s="17">
        <f>SUMIFS('2024'!J:J,'2024'!C:C,Sheet1!D12)</f>
        <v>49332338</v>
      </c>
      <c r="Q12" s="7" t="s">
        <v>49</v>
      </c>
      <c r="R12" s="7" t="s">
        <v>47</v>
      </c>
      <c r="S12" s="7" t="s">
        <v>50</v>
      </c>
      <c r="T12" s="7" t="s">
        <v>51</v>
      </c>
      <c r="U12" s="7" t="s">
        <v>497</v>
      </c>
      <c r="V12" s="7" t="s">
        <v>501</v>
      </c>
      <c r="W12" s="43" t="s">
        <v>508</v>
      </c>
      <c r="X12" s="18" t="s">
        <v>49</v>
      </c>
      <c r="Y12" s="19" t="s">
        <v>49</v>
      </c>
      <c r="Z12" s="12" t="s">
        <v>49</v>
      </c>
      <c r="AA12" s="12" t="s">
        <v>72</v>
      </c>
      <c r="AB12" s="12" t="s">
        <v>73</v>
      </c>
      <c r="AC12" s="14"/>
      <c r="AD12" s="14">
        <v>0</v>
      </c>
      <c r="AE12" s="14" t="s">
        <v>74</v>
      </c>
      <c r="AF12" s="14" t="b">
        <v>0</v>
      </c>
      <c r="AG12" s="14"/>
      <c r="AH12" s="14" t="s">
        <v>75</v>
      </c>
      <c r="AI12" s="14"/>
      <c r="AJ12" s="14" t="s">
        <v>76</v>
      </c>
      <c r="AK12" s="14">
        <v>3</v>
      </c>
      <c r="AL12" s="14" t="s">
        <v>77</v>
      </c>
      <c r="AM12" s="14" t="s">
        <v>60</v>
      </c>
      <c r="AN12" s="14">
        <v>0</v>
      </c>
      <c r="AO12" s="14" t="b">
        <v>0</v>
      </c>
      <c r="AP12" s="14">
        <v>3</v>
      </c>
      <c r="AQ12" s="14" t="b">
        <v>0</v>
      </c>
    </row>
    <row r="13" spans="1:43">
      <c r="A13" s="12">
        <v>7</v>
      </c>
      <c r="B13" s="12">
        <v>589</v>
      </c>
      <c r="C13" s="12" t="s">
        <v>680</v>
      </c>
      <c r="D13" s="12" t="s">
        <v>78</v>
      </c>
      <c r="E13" s="16">
        <v>44974</v>
      </c>
      <c r="F13" s="47"/>
      <c r="G13" s="7" t="s">
        <v>471</v>
      </c>
      <c r="H13" s="7" t="s">
        <v>493</v>
      </c>
      <c r="I13" s="12" t="s">
        <v>45</v>
      </c>
      <c r="J13" s="16">
        <v>46431</v>
      </c>
      <c r="K13" s="8" t="s">
        <v>79</v>
      </c>
      <c r="L13" s="7" t="s">
        <v>47</v>
      </c>
      <c r="M13" s="7" t="s">
        <v>47</v>
      </c>
      <c r="N13" s="7" t="s">
        <v>48</v>
      </c>
      <c r="O13" s="7" t="s">
        <v>113</v>
      </c>
      <c r="P13" s="82" t="s">
        <v>761</v>
      </c>
      <c r="Q13" s="7" t="s">
        <v>50</v>
      </c>
      <c r="R13" s="7" t="s">
        <v>47</v>
      </c>
      <c r="S13" s="7" t="s">
        <v>50</v>
      </c>
      <c r="T13" s="19"/>
      <c r="U13" s="7" t="s">
        <v>502</v>
      </c>
      <c r="V13" s="7" t="s">
        <v>502</v>
      </c>
      <c r="W13" s="7" t="s">
        <v>761</v>
      </c>
      <c r="X13" s="7" t="s">
        <v>761</v>
      </c>
      <c r="Y13" s="7" t="s">
        <v>761</v>
      </c>
      <c r="Z13" s="12"/>
      <c r="AA13" s="12"/>
      <c r="AB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</row>
    <row r="14" spans="1:43">
      <c r="A14" s="12">
        <v>8</v>
      </c>
      <c r="B14" s="12">
        <v>969</v>
      </c>
      <c r="C14" s="15" t="s">
        <v>80</v>
      </c>
      <c r="D14" s="12" t="s">
        <v>81</v>
      </c>
      <c r="E14" s="16">
        <v>44937</v>
      </c>
      <c r="F14" s="46">
        <v>45870</v>
      </c>
      <c r="G14" s="7" t="s">
        <v>471</v>
      </c>
      <c r="H14" s="7" t="s">
        <v>493</v>
      </c>
      <c r="I14" s="12" t="s">
        <v>45</v>
      </c>
      <c r="J14" s="16">
        <v>45824</v>
      </c>
      <c r="K14" s="8" t="s">
        <v>82</v>
      </c>
      <c r="L14" s="7" t="s">
        <v>47</v>
      </c>
      <c r="M14" s="7" t="s">
        <v>47</v>
      </c>
      <c r="N14" s="7" t="s">
        <v>48</v>
      </c>
      <c r="O14" s="7" t="s">
        <v>113</v>
      </c>
      <c r="P14" s="17">
        <f>SUMIFS('2024'!J:J,'2024'!C:C,Sheet1!C14)</f>
        <v>1699686</v>
      </c>
      <c r="Q14" s="7" t="s">
        <v>50</v>
      </c>
      <c r="R14" s="7" t="s">
        <v>47</v>
      </c>
      <c r="S14" s="7" t="s">
        <v>50</v>
      </c>
      <c r="T14" s="19" t="s">
        <v>83</v>
      </c>
      <c r="U14" s="7" t="s">
        <v>504</v>
      </c>
      <c r="V14" s="7" t="s">
        <v>503</v>
      </c>
      <c r="W14" s="44" t="s">
        <v>509</v>
      </c>
      <c r="X14" s="15" t="s">
        <v>84</v>
      </c>
      <c r="Y14" s="12" t="s">
        <v>85</v>
      </c>
      <c r="Z14" s="12" t="s">
        <v>86</v>
      </c>
      <c r="AA14" s="12" t="s">
        <v>510</v>
      </c>
      <c r="AB14" s="12" t="s">
        <v>511</v>
      </c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</row>
    <row r="15" spans="1:43">
      <c r="A15" s="12">
        <v>9</v>
      </c>
      <c r="B15" s="24">
        <v>418</v>
      </c>
      <c r="C15" s="25" t="s">
        <v>87</v>
      </c>
      <c r="D15" s="15" t="s">
        <v>88</v>
      </c>
      <c r="E15" s="37">
        <v>44967</v>
      </c>
      <c r="F15" s="47"/>
      <c r="G15" s="7" t="s">
        <v>471</v>
      </c>
      <c r="H15" s="7" t="s">
        <v>493</v>
      </c>
      <c r="I15" s="12" t="s">
        <v>45</v>
      </c>
      <c r="J15" s="26">
        <v>45947</v>
      </c>
      <c r="K15" s="4" t="s">
        <v>79</v>
      </c>
      <c r="L15" s="7" t="s">
        <v>47</v>
      </c>
      <c r="M15" s="7" t="s">
        <v>47</v>
      </c>
      <c r="N15" s="7" t="s">
        <v>48</v>
      </c>
      <c r="O15" s="7" t="s">
        <v>113</v>
      </c>
      <c r="P15" s="17">
        <f>SUMIFS('2024'!J:J,'2024'!C:C,Sheet1!D15)</f>
        <v>18456325</v>
      </c>
      <c r="R15" s="7" t="s">
        <v>47</v>
      </c>
      <c r="S15" s="7" t="s">
        <v>50</v>
      </c>
      <c r="T15" s="24"/>
      <c r="U15" s="7" t="s">
        <v>497</v>
      </c>
      <c r="V15" s="4" t="s">
        <v>505</v>
      </c>
      <c r="W15" s="42" t="s">
        <v>506</v>
      </c>
      <c r="X15" s="24"/>
      <c r="Y15" s="24"/>
      <c r="Z15" s="24"/>
      <c r="AA15" s="24"/>
      <c r="AB15" s="2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>
      <c r="A16" s="12">
        <v>10</v>
      </c>
      <c r="B16" s="12">
        <v>1095</v>
      </c>
      <c r="C16" s="12" t="s">
        <v>683</v>
      </c>
      <c r="D16" s="12" t="s">
        <v>89</v>
      </c>
      <c r="E16" s="16">
        <v>44993</v>
      </c>
      <c r="F16" s="46">
        <v>45611</v>
      </c>
      <c r="G16" s="7" t="s">
        <v>471</v>
      </c>
      <c r="H16" s="7" t="s">
        <v>493</v>
      </c>
      <c r="I16" s="12" t="s">
        <v>45</v>
      </c>
      <c r="J16" s="16">
        <v>46133</v>
      </c>
      <c r="K16" s="8" t="s">
        <v>90</v>
      </c>
      <c r="L16" s="7" t="s">
        <v>47</v>
      </c>
      <c r="M16" s="7" t="s">
        <v>91</v>
      </c>
      <c r="N16" s="7" t="s">
        <v>48</v>
      </c>
      <c r="O16" s="7" t="s">
        <v>113</v>
      </c>
      <c r="P16" s="17">
        <f>SUMIFS('2024'!J:J,'2024'!C:C,Sheet1!C16)</f>
        <v>1699686</v>
      </c>
      <c r="Q16" s="7" t="s">
        <v>93</v>
      </c>
      <c r="R16" s="7" t="s">
        <v>48</v>
      </c>
      <c r="S16" s="7" t="s">
        <v>50</v>
      </c>
      <c r="T16" s="7" t="s">
        <v>94</v>
      </c>
      <c r="U16" s="7" t="s">
        <v>497</v>
      </c>
      <c r="V16" s="7" t="s">
        <v>513</v>
      </c>
      <c r="W16" s="7" t="s">
        <v>512</v>
      </c>
      <c r="X16" s="18" t="s">
        <v>49</v>
      </c>
      <c r="Y16" s="19" t="s">
        <v>49</v>
      </c>
      <c r="Z16" s="12" t="s">
        <v>49</v>
      </c>
      <c r="AA16" s="12" t="s">
        <v>95</v>
      </c>
      <c r="AB16" s="12" t="s">
        <v>96</v>
      </c>
      <c r="AC16" s="14"/>
      <c r="AD16" s="14">
        <v>0</v>
      </c>
      <c r="AE16" s="14" t="s">
        <v>97</v>
      </c>
      <c r="AF16" s="14" t="b">
        <v>0</v>
      </c>
      <c r="AG16" s="14"/>
      <c r="AH16" s="14"/>
      <c r="AI16" s="14"/>
      <c r="AJ16" s="14"/>
      <c r="AK16" s="14">
        <v>1</v>
      </c>
      <c r="AL16" s="14"/>
      <c r="AM16" s="14" t="s">
        <v>98</v>
      </c>
      <c r="AN16" s="14">
        <v>0</v>
      </c>
      <c r="AO16" s="14" t="b">
        <v>0</v>
      </c>
      <c r="AP16" s="14">
        <v>3</v>
      </c>
      <c r="AQ16" s="14" t="b">
        <v>0</v>
      </c>
    </row>
    <row r="17" spans="1:43">
      <c r="A17" s="12">
        <v>11</v>
      </c>
      <c r="B17" s="12">
        <v>37</v>
      </c>
      <c r="C17" s="15" t="s">
        <v>99</v>
      </c>
      <c r="D17" s="27" t="s">
        <v>100</v>
      </c>
      <c r="E17" s="36">
        <v>44967</v>
      </c>
      <c r="F17" s="46">
        <v>45772</v>
      </c>
      <c r="G17" s="7" t="s">
        <v>471</v>
      </c>
      <c r="H17" s="7" t="s">
        <v>494</v>
      </c>
      <c r="I17" s="15" t="s">
        <v>45</v>
      </c>
      <c r="J17" s="39">
        <v>45411</v>
      </c>
      <c r="K17" s="40" t="s">
        <v>101</v>
      </c>
      <c r="L17" s="7" t="s">
        <v>47</v>
      </c>
      <c r="M17" s="7" t="s">
        <v>91</v>
      </c>
      <c r="N17" s="7" t="s">
        <v>48</v>
      </c>
      <c r="O17" s="7" t="s">
        <v>113</v>
      </c>
      <c r="P17" s="17">
        <f>SUMIFS('2024'!J:J,'2024'!C:C,Sheet1!D17)</f>
        <v>1842500</v>
      </c>
      <c r="Q17" s="7" t="s">
        <v>93</v>
      </c>
      <c r="R17" s="7" t="s">
        <v>48</v>
      </c>
      <c r="S17" s="7" t="s">
        <v>50</v>
      </c>
      <c r="T17" s="7" t="s">
        <v>102</v>
      </c>
      <c r="U17" s="7" t="s">
        <v>514</v>
      </c>
      <c r="V17" s="7" t="s">
        <v>515</v>
      </c>
      <c r="W17" s="43" t="s">
        <v>516</v>
      </c>
      <c r="X17" s="18" t="s">
        <v>103</v>
      </c>
      <c r="Y17" s="19"/>
      <c r="Z17" s="12" t="s">
        <v>104</v>
      </c>
      <c r="AA17" s="15" t="s">
        <v>105</v>
      </c>
      <c r="AB17" s="15" t="s">
        <v>106</v>
      </c>
      <c r="AC17" s="14"/>
      <c r="AD17" s="14">
        <v>0</v>
      </c>
      <c r="AE17" s="14" t="s">
        <v>107</v>
      </c>
      <c r="AF17" s="14" t="b">
        <v>0</v>
      </c>
      <c r="AG17" s="14"/>
      <c r="AH17" s="14" t="s">
        <v>108</v>
      </c>
      <c r="AI17" s="14"/>
      <c r="AJ17" s="14" t="s">
        <v>109</v>
      </c>
      <c r="AK17" s="14">
        <v>3</v>
      </c>
      <c r="AL17" s="14" t="s">
        <v>110</v>
      </c>
      <c r="AM17" s="14" t="s">
        <v>60</v>
      </c>
      <c r="AN17" s="14">
        <v>0</v>
      </c>
      <c r="AO17" s="14" t="b">
        <v>0</v>
      </c>
      <c r="AP17" s="14">
        <v>3</v>
      </c>
      <c r="AQ17" s="14" t="b">
        <v>0</v>
      </c>
    </row>
    <row r="18" spans="1:43">
      <c r="A18" s="12">
        <v>12</v>
      </c>
      <c r="B18" s="12">
        <v>1033</v>
      </c>
      <c r="C18" s="15" t="s">
        <v>111</v>
      </c>
      <c r="D18" s="15" t="s">
        <v>488</v>
      </c>
      <c r="E18" s="37">
        <v>44951</v>
      </c>
      <c r="F18" s="47"/>
      <c r="G18" s="7" t="s">
        <v>471</v>
      </c>
      <c r="H18" s="7" t="s">
        <v>493</v>
      </c>
      <c r="I18" s="12" t="s">
        <v>45</v>
      </c>
      <c r="J18" s="16">
        <v>46377</v>
      </c>
      <c r="K18" s="7" t="s">
        <v>470</v>
      </c>
      <c r="L18" s="7" t="s">
        <v>47</v>
      </c>
      <c r="M18" s="7" t="s">
        <v>91</v>
      </c>
      <c r="N18" s="7" t="s">
        <v>48</v>
      </c>
      <c r="O18" s="7" t="s">
        <v>113</v>
      </c>
      <c r="P18" s="17">
        <f>SUMIFS('2024'!J:J,'2024'!C:C,Sheet1!D18)</f>
        <v>848000</v>
      </c>
      <c r="Q18" s="7" t="s">
        <v>93</v>
      </c>
      <c r="R18" s="7" t="s">
        <v>48</v>
      </c>
      <c r="S18" s="7" t="s">
        <v>50</v>
      </c>
      <c r="T18" s="7" t="s">
        <v>102</v>
      </c>
      <c r="U18" s="7" t="s">
        <v>514</v>
      </c>
      <c r="V18" s="7" t="s">
        <v>520</v>
      </c>
      <c r="W18" s="43" t="s">
        <v>517</v>
      </c>
      <c r="X18" s="18" t="s">
        <v>519</v>
      </c>
      <c r="Y18" s="19"/>
      <c r="Z18" s="12"/>
      <c r="AA18" s="15" t="s">
        <v>518</v>
      </c>
      <c r="AB18" s="15" t="s">
        <v>521</v>
      </c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</row>
    <row r="19" spans="1:43">
      <c r="A19" s="12">
        <v>13</v>
      </c>
      <c r="B19" s="12">
        <v>928</v>
      </c>
      <c r="C19" s="15" t="s">
        <v>522</v>
      </c>
      <c r="D19" s="15" t="s">
        <v>112</v>
      </c>
      <c r="E19" s="37">
        <v>44938</v>
      </c>
      <c r="F19" s="46">
        <v>45877</v>
      </c>
      <c r="G19" s="7" t="s">
        <v>471</v>
      </c>
      <c r="H19" s="7" t="s">
        <v>493</v>
      </c>
      <c r="I19" s="12" t="s">
        <v>45</v>
      </c>
      <c r="J19" s="12"/>
      <c r="K19" s="7"/>
      <c r="L19" s="7" t="s">
        <v>47</v>
      </c>
      <c r="M19" s="7" t="s">
        <v>113</v>
      </c>
      <c r="N19" s="7" t="s">
        <v>113</v>
      </c>
      <c r="O19" s="7" t="s">
        <v>113</v>
      </c>
      <c r="P19" s="17">
        <f>SUMIFS('2024'!J:J,'2024'!C:C,Sheet1!C19)</f>
        <v>120000</v>
      </c>
      <c r="Q19" s="7" t="s">
        <v>93</v>
      </c>
      <c r="R19" s="7" t="s">
        <v>47</v>
      </c>
      <c r="S19" s="7" t="s">
        <v>50</v>
      </c>
      <c r="T19" s="7" t="s">
        <v>102</v>
      </c>
      <c r="U19" s="7" t="s">
        <v>514</v>
      </c>
      <c r="V19" s="7"/>
      <c r="W19" s="7"/>
      <c r="X19" s="18" t="s">
        <v>114</v>
      </c>
      <c r="Y19" s="19"/>
      <c r="Z19" s="12" t="s">
        <v>115</v>
      </c>
      <c r="AA19" s="12" t="s">
        <v>116</v>
      </c>
      <c r="AB19" s="12" t="s">
        <v>117</v>
      </c>
      <c r="AC19" s="14"/>
      <c r="AD19" s="14">
        <v>0</v>
      </c>
      <c r="AE19" s="14" t="s">
        <v>118</v>
      </c>
      <c r="AF19" s="14" t="b">
        <v>0</v>
      </c>
      <c r="AG19" s="14"/>
      <c r="AH19" s="14" t="s">
        <v>119</v>
      </c>
      <c r="AI19" s="14"/>
      <c r="AJ19" s="14" t="s">
        <v>120</v>
      </c>
      <c r="AK19" s="14">
        <v>3</v>
      </c>
      <c r="AL19" s="14" t="s">
        <v>121</v>
      </c>
      <c r="AM19" s="14" t="s">
        <v>98</v>
      </c>
      <c r="AN19" s="14">
        <v>0</v>
      </c>
      <c r="AO19" s="14" t="b">
        <v>0</v>
      </c>
      <c r="AP19" s="14">
        <v>3</v>
      </c>
      <c r="AQ19" s="14" t="b">
        <v>0</v>
      </c>
    </row>
    <row r="20" spans="1:43">
      <c r="A20" s="12">
        <v>14</v>
      </c>
      <c r="B20" s="12">
        <v>79</v>
      </c>
      <c r="C20" s="12" t="s">
        <v>688</v>
      </c>
      <c r="D20" s="12" t="s">
        <v>122</v>
      </c>
      <c r="E20" s="16">
        <v>44956</v>
      </c>
      <c r="F20" s="46">
        <v>45866</v>
      </c>
      <c r="G20" s="7" t="s">
        <v>471</v>
      </c>
      <c r="H20" s="7" t="s">
        <v>494</v>
      </c>
      <c r="I20" s="21" t="s">
        <v>68</v>
      </c>
      <c r="J20" s="21"/>
      <c r="K20" s="22"/>
      <c r="L20" s="7" t="s">
        <v>47</v>
      </c>
      <c r="M20" s="7" t="s">
        <v>113</v>
      </c>
      <c r="N20" s="7" t="s">
        <v>113</v>
      </c>
      <c r="O20" s="7" t="s">
        <v>113</v>
      </c>
      <c r="P20" s="17">
        <f>SUMIFS('2024'!J:J,'2024'!C:C,Sheet1!C20)</f>
        <v>17969191</v>
      </c>
      <c r="Q20" s="7" t="s">
        <v>123</v>
      </c>
      <c r="R20" s="7" t="s">
        <v>47</v>
      </c>
      <c r="S20" s="7" t="s">
        <v>124</v>
      </c>
      <c r="T20" s="28" t="s">
        <v>125</v>
      </c>
      <c r="U20" s="28" t="s">
        <v>523</v>
      </c>
      <c r="V20" s="28"/>
      <c r="W20" s="28"/>
      <c r="X20" s="18" t="s">
        <v>126</v>
      </c>
      <c r="Y20" s="19" t="s">
        <v>127</v>
      </c>
      <c r="Z20" s="12" t="s">
        <v>128</v>
      </c>
      <c r="AA20" s="12" t="s">
        <v>129</v>
      </c>
      <c r="AB20" s="12" t="s">
        <v>130</v>
      </c>
      <c r="AC20" s="14"/>
      <c r="AD20" s="14">
        <v>0</v>
      </c>
      <c r="AE20" s="14" t="s">
        <v>131</v>
      </c>
      <c r="AF20" s="14" t="b">
        <v>0</v>
      </c>
      <c r="AG20" s="14"/>
      <c r="AH20" s="14" t="s">
        <v>132</v>
      </c>
      <c r="AI20" s="14"/>
      <c r="AJ20" s="14" t="s">
        <v>133</v>
      </c>
      <c r="AK20" s="14">
        <v>3</v>
      </c>
      <c r="AL20" s="14" t="s">
        <v>134</v>
      </c>
      <c r="AM20" s="14" t="s">
        <v>60</v>
      </c>
      <c r="AN20" s="14">
        <v>0</v>
      </c>
      <c r="AO20" s="14" t="b">
        <v>0</v>
      </c>
      <c r="AP20" s="14">
        <v>3</v>
      </c>
      <c r="AQ20" s="14" t="b">
        <v>0</v>
      </c>
    </row>
    <row r="21" spans="1:43" hidden="1">
      <c r="A21" s="12">
        <v>15</v>
      </c>
      <c r="B21" s="12">
        <v>95</v>
      </c>
      <c r="C21" s="12" t="s">
        <v>489</v>
      </c>
      <c r="D21" s="29" t="s">
        <v>135</v>
      </c>
      <c r="E21" s="29"/>
      <c r="F21" s="47"/>
      <c r="G21" s="7" t="s">
        <v>471</v>
      </c>
      <c r="H21" s="7" t="s">
        <v>494</v>
      </c>
      <c r="I21" s="21" t="s">
        <v>68</v>
      </c>
      <c r="J21" s="21"/>
      <c r="K21" s="22"/>
      <c r="L21" s="7" t="s">
        <v>47</v>
      </c>
      <c r="M21" s="7" t="s">
        <v>113</v>
      </c>
      <c r="N21" s="7" t="s">
        <v>113</v>
      </c>
      <c r="O21" s="7" t="s">
        <v>113</v>
      </c>
      <c r="P21" s="17">
        <f>SUMIFS('2024'!J:J,'2024'!C:C,Sheet1!D21)</f>
        <v>0</v>
      </c>
      <c r="Q21" s="7" t="s">
        <v>49</v>
      </c>
      <c r="R21" s="7" t="s">
        <v>47</v>
      </c>
      <c r="S21" s="7" t="s">
        <v>50</v>
      </c>
      <c r="T21" s="7" t="s">
        <v>136</v>
      </c>
      <c r="U21" s="7"/>
      <c r="V21" s="7"/>
      <c r="W21" s="7"/>
      <c r="X21" s="18" t="s">
        <v>137</v>
      </c>
      <c r="Y21" s="19"/>
      <c r="Z21" s="12" t="s">
        <v>138</v>
      </c>
      <c r="AA21" s="12" t="s">
        <v>139</v>
      </c>
      <c r="AB21" s="12" t="s">
        <v>140</v>
      </c>
      <c r="AC21" s="14"/>
      <c r="AD21" s="14">
        <v>0</v>
      </c>
      <c r="AE21" s="14" t="s">
        <v>141</v>
      </c>
      <c r="AF21" s="14" t="b">
        <v>0</v>
      </c>
      <c r="AG21" s="14"/>
      <c r="AH21" s="14" t="s">
        <v>142</v>
      </c>
      <c r="AI21" s="14"/>
      <c r="AJ21" s="14" t="s">
        <v>143</v>
      </c>
      <c r="AK21" s="14">
        <v>3</v>
      </c>
      <c r="AL21" s="14" t="s">
        <v>144</v>
      </c>
      <c r="AM21" s="14" t="s">
        <v>98</v>
      </c>
      <c r="AN21" s="14">
        <v>0</v>
      </c>
      <c r="AO21" s="14" t="b">
        <v>0</v>
      </c>
      <c r="AP21" s="14">
        <v>3</v>
      </c>
      <c r="AQ21" s="14" t="b">
        <v>0</v>
      </c>
    </row>
    <row r="22" spans="1:43">
      <c r="A22" s="12">
        <v>16</v>
      </c>
      <c r="B22" s="12">
        <v>377</v>
      </c>
      <c r="C22" s="12" t="s">
        <v>690</v>
      </c>
      <c r="D22" s="12" t="s">
        <v>145</v>
      </c>
      <c r="E22" s="16">
        <v>44967</v>
      </c>
      <c r="F22" s="46">
        <v>45761</v>
      </c>
      <c r="G22" s="7" t="s">
        <v>471</v>
      </c>
      <c r="H22" s="7" t="s">
        <v>494</v>
      </c>
      <c r="I22" s="21" t="s">
        <v>68</v>
      </c>
      <c r="J22" s="21"/>
      <c r="K22" s="22"/>
      <c r="L22" s="7" t="s">
        <v>47</v>
      </c>
      <c r="M22" s="7" t="s">
        <v>113</v>
      </c>
      <c r="N22" s="7" t="s">
        <v>113</v>
      </c>
      <c r="O22" s="7" t="s">
        <v>113</v>
      </c>
      <c r="P22" s="17">
        <f>SUMIFS('2024'!J:J,'2024'!C:C,Sheet1!C22)</f>
        <v>4928081</v>
      </c>
      <c r="Q22" s="7" t="s">
        <v>146</v>
      </c>
      <c r="R22" s="7" t="s">
        <v>47</v>
      </c>
      <c r="S22" s="7" t="s">
        <v>147</v>
      </c>
      <c r="T22" s="7" t="s">
        <v>148</v>
      </c>
      <c r="U22" s="7" t="s">
        <v>504</v>
      </c>
      <c r="V22" s="7" t="s">
        <v>524</v>
      </c>
      <c r="W22" s="7" t="s">
        <v>525</v>
      </c>
      <c r="X22" s="18" t="s">
        <v>149</v>
      </c>
      <c r="Y22" s="19"/>
      <c r="Z22" s="12"/>
      <c r="AA22" s="12" t="s">
        <v>150</v>
      </c>
      <c r="AB22" s="12" t="s">
        <v>151</v>
      </c>
      <c r="AC22" s="14"/>
      <c r="AD22" s="14">
        <v>0</v>
      </c>
      <c r="AE22" s="14" t="s">
        <v>152</v>
      </c>
      <c r="AF22" s="14" t="b">
        <v>0</v>
      </c>
      <c r="AG22" s="14"/>
      <c r="AH22" s="14" t="s">
        <v>153</v>
      </c>
      <c r="AI22" s="14"/>
      <c r="AJ22" s="14" t="s">
        <v>154</v>
      </c>
      <c r="AK22" s="14">
        <v>3</v>
      </c>
      <c r="AL22" s="14" t="s">
        <v>155</v>
      </c>
      <c r="AM22" s="14" t="s">
        <v>60</v>
      </c>
      <c r="AN22" s="14">
        <v>0</v>
      </c>
      <c r="AO22" s="14" t="b">
        <v>0</v>
      </c>
      <c r="AP22" s="14">
        <v>3</v>
      </c>
      <c r="AQ22" s="14" t="b">
        <v>0</v>
      </c>
    </row>
    <row r="23" spans="1:43">
      <c r="A23" s="12">
        <v>17</v>
      </c>
      <c r="B23" s="12">
        <v>363</v>
      </c>
      <c r="C23" s="12" t="s">
        <v>692</v>
      </c>
      <c r="D23" s="12" t="s">
        <v>156</v>
      </c>
      <c r="E23" s="16">
        <v>44944</v>
      </c>
      <c r="F23" s="47"/>
      <c r="G23" s="7" t="s">
        <v>471</v>
      </c>
      <c r="H23" s="7" t="s">
        <v>494</v>
      </c>
      <c r="I23" s="21" t="s">
        <v>68</v>
      </c>
      <c r="J23" s="21"/>
      <c r="K23" s="21"/>
      <c r="L23" s="7" t="s">
        <v>113</v>
      </c>
      <c r="M23" s="7" t="s">
        <v>92</v>
      </c>
      <c r="N23" s="7" t="s">
        <v>92</v>
      </c>
      <c r="O23" s="7" t="s">
        <v>113</v>
      </c>
      <c r="P23" s="17">
        <f>SUMIFS('2024'!J:J,'2024'!C:C,Sheet1!C23)</f>
        <v>78168</v>
      </c>
      <c r="Q23" s="7" t="s">
        <v>157</v>
      </c>
      <c r="R23" s="7" t="s">
        <v>47</v>
      </c>
      <c r="S23" s="7" t="s">
        <v>50</v>
      </c>
      <c r="T23" s="28" t="s">
        <v>158</v>
      </c>
      <c r="U23" s="7" t="s">
        <v>514</v>
      </c>
      <c r="V23" s="28" t="s">
        <v>529</v>
      </c>
      <c r="W23" s="28" t="s">
        <v>530</v>
      </c>
      <c r="X23" s="18" t="s">
        <v>159</v>
      </c>
      <c r="Y23" s="19"/>
      <c r="Z23" s="12" t="s">
        <v>160</v>
      </c>
      <c r="AA23" s="12" t="s">
        <v>161</v>
      </c>
      <c r="AB23" s="12" t="s">
        <v>162</v>
      </c>
      <c r="AC23" s="14"/>
      <c r="AD23" s="14">
        <v>0</v>
      </c>
      <c r="AE23" s="14" t="s">
        <v>163</v>
      </c>
      <c r="AF23" s="14" t="b">
        <v>0</v>
      </c>
      <c r="AG23" s="14"/>
      <c r="AH23" s="14" t="s">
        <v>164</v>
      </c>
      <c r="AI23" s="14"/>
      <c r="AJ23" s="14" t="s">
        <v>165</v>
      </c>
      <c r="AK23" s="14">
        <v>3</v>
      </c>
      <c r="AL23" s="14" t="s">
        <v>166</v>
      </c>
      <c r="AM23" s="14" t="s">
        <v>60</v>
      </c>
      <c r="AN23" s="14">
        <v>0</v>
      </c>
      <c r="AO23" s="14" t="b">
        <v>0</v>
      </c>
      <c r="AP23" s="14">
        <v>3</v>
      </c>
      <c r="AQ23" s="14" t="b">
        <v>0</v>
      </c>
    </row>
    <row r="24" spans="1:43">
      <c r="A24" s="12">
        <v>18</v>
      </c>
      <c r="B24" s="12">
        <v>260</v>
      </c>
      <c r="C24" s="12" t="s">
        <v>527</v>
      </c>
      <c r="D24" s="12" t="s">
        <v>167</v>
      </c>
      <c r="E24" s="16">
        <v>45002</v>
      </c>
      <c r="F24" s="46">
        <v>45821</v>
      </c>
      <c r="G24" s="7" t="s">
        <v>471</v>
      </c>
      <c r="H24" s="7" t="s">
        <v>494</v>
      </c>
      <c r="I24" s="12" t="s">
        <v>45</v>
      </c>
      <c r="J24" s="12"/>
      <c r="K24" s="7"/>
      <c r="L24" s="7" t="s">
        <v>47</v>
      </c>
      <c r="M24" s="7" t="s">
        <v>92</v>
      </c>
      <c r="N24" s="7" t="s">
        <v>113</v>
      </c>
      <c r="O24" s="7" t="s">
        <v>113</v>
      </c>
      <c r="P24" s="17">
        <f>SUMIFS('2024'!J:J,'2024'!C:C,Sheet1!C24)</f>
        <v>3836641</v>
      </c>
      <c r="Q24" s="7" t="s">
        <v>168</v>
      </c>
      <c r="R24" s="7" t="s">
        <v>47</v>
      </c>
      <c r="S24" s="7" t="s">
        <v>147</v>
      </c>
      <c r="T24" s="7" t="s">
        <v>122</v>
      </c>
      <c r="U24" s="28" t="s">
        <v>523</v>
      </c>
      <c r="V24" s="7" t="s">
        <v>526</v>
      </c>
      <c r="W24" s="7" t="s">
        <v>526</v>
      </c>
      <c r="X24" s="18" t="s">
        <v>169</v>
      </c>
      <c r="Y24" s="19"/>
      <c r="Z24" s="12"/>
      <c r="AA24" s="12" t="s">
        <v>170</v>
      </c>
      <c r="AB24" s="12" t="s">
        <v>171</v>
      </c>
      <c r="AC24" s="14"/>
      <c r="AD24" s="14">
        <v>0</v>
      </c>
      <c r="AE24" s="14" t="s">
        <v>172</v>
      </c>
      <c r="AF24" s="14" t="b">
        <v>0</v>
      </c>
      <c r="AG24" s="14"/>
      <c r="AH24" s="14" t="s">
        <v>173</v>
      </c>
      <c r="AI24" s="14"/>
      <c r="AJ24" s="14" t="s">
        <v>174</v>
      </c>
      <c r="AK24" s="14">
        <v>3</v>
      </c>
      <c r="AL24" s="14" t="s">
        <v>175</v>
      </c>
      <c r="AM24" s="14" t="s">
        <v>60</v>
      </c>
      <c r="AN24" s="14">
        <v>0</v>
      </c>
      <c r="AO24" s="14" t="b">
        <v>0</v>
      </c>
      <c r="AP24" s="14">
        <v>3</v>
      </c>
      <c r="AQ24" s="14" t="b">
        <v>0</v>
      </c>
    </row>
    <row r="25" spans="1:43">
      <c r="A25" s="12">
        <v>19</v>
      </c>
      <c r="B25" s="12">
        <v>473</v>
      </c>
      <c r="C25" s="12" t="s">
        <v>528</v>
      </c>
      <c r="D25" s="12" t="s">
        <v>176</v>
      </c>
      <c r="E25" s="16">
        <v>44993</v>
      </c>
      <c r="F25" s="46">
        <v>45506</v>
      </c>
      <c r="G25" s="7" t="s">
        <v>471</v>
      </c>
      <c r="H25" s="7" t="s">
        <v>494</v>
      </c>
      <c r="I25" s="21" t="s">
        <v>68</v>
      </c>
      <c r="J25" s="21"/>
      <c r="K25" s="22"/>
      <c r="L25" s="7" t="s">
        <v>47</v>
      </c>
      <c r="M25" s="7" t="s">
        <v>92</v>
      </c>
      <c r="N25" s="7" t="s">
        <v>92</v>
      </c>
      <c r="O25" s="7" t="s">
        <v>113</v>
      </c>
      <c r="P25" s="17">
        <f>SUMIFS('2024'!J:J,'2024'!C:C,Sheet1!C25)</f>
        <v>6803335</v>
      </c>
      <c r="Q25" s="7" t="s">
        <v>123</v>
      </c>
      <c r="R25" s="7" t="s">
        <v>47</v>
      </c>
      <c r="S25" s="7" t="s">
        <v>147</v>
      </c>
      <c r="T25" s="7" t="s">
        <v>177</v>
      </c>
      <c r="U25" s="7" t="s">
        <v>504</v>
      </c>
      <c r="V25" s="7" t="s">
        <v>532</v>
      </c>
      <c r="W25" s="43" t="s">
        <v>531</v>
      </c>
      <c r="X25" s="18" t="s">
        <v>178</v>
      </c>
      <c r="Y25" s="19"/>
      <c r="Z25" s="12" t="s">
        <v>179</v>
      </c>
      <c r="AA25" s="12" t="s">
        <v>180</v>
      </c>
      <c r="AB25" s="12" t="s">
        <v>181</v>
      </c>
      <c r="AC25" s="14"/>
      <c r="AD25" s="14">
        <v>0</v>
      </c>
      <c r="AE25" s="14" t="s">
        <v>182</v>
      </c>
      <c r="AF25" s="14" t="b">
        <v>0</v>
      </c>
      <c r="AG25" s="14"/>
      <c r="AH25" s="14" t="s">
        <v>183</v>
      </c>
      <c r="AI25" s="14"/>
      <c r="AJ25" s="14" t="s">
        <v>184</v>
      </c>
      <c r="AK25" s="14">
        <v>3</v>
      </c>
      <c r="AL25" s="14" t="s">
        <v>185</v>
      </c>
      <c r="AM25" s="14" t="s">
        <v>98</v>
      </c>
      <c r="AN25" s="14">
        <v>0</v>
      </c>
      <c r="AO25" s="14" t="b">
        <v>0</v>
      </c>
      <c r="AP25" s="14">
        <v>3</v>
      </c>
      <c r="AQ25" s="14" t="b">
        <v>0</v>
      </c>
    </row>
    <row r="26" spans="1:43">
      <c r="A26" s="12">
        <v>20</v>
      </c>
      <c r="B26" s="12">
        <v>1056</v>
      </c>
      <c r="C26" s="12" t="s">
        <v>696</v>
      </c>
      <c r="D26" s="12" t="s">
        <v>186</v>
      </c>
      <c r="E26" s="16">
        <v>44984</v>
      </c>
      <c r="F26" s="46">
        <v>45891</v>
      </c>
      <c r="G26" s="7" t="s">
        <v>471</v>
      </c>
      <c r="H26" s="7" t="s">
        <v>494</v>
      </c>
      <c r="I26" s="12" t="s">
        <v>45</v>
      </c>
      <c r="J26" s="12"/>
      <c r="K26" s="7"/>
      <c r="L26" s="7" t="s">
        <v>47</v>
      </c>
      <c r="M26" s="7" t="s">
        <v>92</v>
      </c>
      <c r="N26" s="7" t="s">
        <v>113</v>
      </c>
      <c r="O26" s="7" t="s">
        <v>113</v>
      </c>
      <c r="P26" s="17">
        <f>SUMIFS('2024'!J:J,'2024'!C:C,Sheet1!C26)</f>
        <v>23282660</v>
      </c>
      <c r="Q26" s="7" t="s">
        <v>168</v>
      </c>
      <c r="R26" s="7" t="s">
        <v>47</v>
      </c>
      <c r="S26" s="7" t="s">
        <v>50</v>
      </c>
      <c r="T26" s="7" t="s">
        <v>187</v>
      </c>
      <c r="U26" s="7" t="s">
        <v>504</v>
      </c>
      <c r="V26" s="7" t="s">
        <v>533</v>
      </c>
      <c r="W26" s="43" t="s">
        <v>534</v>
      </c>
      <c r="X26" s="18" t="s">
        <v>188</v>
      </c>
      <c r="Y26" s="19"/>
      <c r="Z26" s="12" t="s">
        <v>189</v>
      </c>
      <c r="AA26" s="12" t="s">
        <v>190</v>
      </c>
      <c r="AB26" s="12" t="s">
        <v>191</v>
      </c>
      <c r="AC26" s="14"/>
      <c r="AD26" s="14">
        <v>0</v>
      </c>
      <c r="AE26" s="14" t="s">
        <v>192</v>
      </c>
      <c r="AF26" s="14" t="b">
        <v>0</v>
      </c>
      <c r="AG26" s="14"/>
      <c r="AH26" s="14" t="s">
        <v>57</v>
      </c>
      <c r="AI26" s="14"/>
      <c r="AJ26" s="14" t="s">
        <v>193</v>
      </c>
      <c r="AK26" s="14">
        <v>3</v>
      </c>
      <c r="AL26" s="14" t="s">
        <v>194</v>
      </c>
      <c r="AM26" s="14" t="s">
        <v>60</v>
      </c>
      <c r="AN26" s="14">
        <v>0</v>
      </c>
      <c r="AO26" s="14" t="b">
        <v>0</v>
      </c>
      <c r="AP26" s="14">
        <v>3</v>
      </c>
      <c r="AQ26" s="14" t="b">
        <v>0</v>
      </c>
    </row>
    <row r="27" spans="1:43">
      <c r="A27" s="12">
        <v>21</v>
      </c>
      <c r="B27" s="12">
        <v>62</v>
      </c>
      <c r="C27" s="12" t="s">
        <v>698</v>
      </c>
      <c r="D27" s="12" t="s">
        <v>195</v>
      </c>
      <c r="E27" s="16">
        <v>44985</v>
      </c>
      <c r="F27" s="46">
        <v>45896</v>
      </c>
      <c r="G27" s="7" t="s">
        <v>471</v>
      </c>
      <c r="H27" s="7" t="s">
        <v>494</v>
      </c>
      <c r="I27" s="21" t="s">
        <v>68</v>
      </c>
      <c r="J27" s="21"/>
      <c r="K27" s="22"/>
      <c r="L27" s="7" t="s">
        <v>47</v>
      </c>
      <c r="M27" s="7" t="s">
        <v>92</v>
      </c>
      <c r="N27" s="7" t="s">
        <v>48</v>
      </c>
      <c r="O27" s="7" t="s">
        <v>113</v>
      </c>
      <c r="P27" s="17">
        <v>11184417</v>
      </c>
      <c r="Q27" s="30" t="s">
        <v>123</v>
      </c>
      <c r="R27" s="7" t="s">
        <v>47</v>
      </c>
      <c r="S27" s="7" t="s">
        <v>50</v>
      </c>
      <c r="T27" s="7" t="s">
        <v>196</v>
      </c>
      <c r="U27" s="7"/>
      <c r="V27" s="7"/>
      <c r="W27" s="7"/>
      <c r="X27" s="18" t="s">
        <v>197</v>
      </c>
      <c r="Y27" s="19"/>
      <c r="Z27" s="12" t="s">
        <v>198</v>
      </c>
      <c r="AA27" s="12" t="s">
        <v>199</v>
      </c>
      <c r="AB27" s="12" t="s">
        <v>200</v>
      </c>
      <c r="AC27" s="14"/>
      <c r="AD27" s="14">
        <v>0</v>
      </c>
      <c r="AE27" s="14" t="s">
        <v>201</v>
      </c>
      <c r="AF27" s="14" t="b">
        <v>0</v>
      </c>
      <c r="AG27" s="14"/>
      <c r="AH27" s="14" t="s">
        <v>75</v>
      </c>
      <c r="AI27" s="14"/>
      <c r="AJ27" s="14" t="s">
        <v>202</v>
      </c>
      <c r="AK27" s="14">
        <v>3</v>
      </c>
      <c r="AL27" s="14" t="s">
        <v>203</v>
      </c>
      <c r="AM27" s="14" t="s">
        <v>98</v>
      </c>
      <c r="AN27" s="14">
        <v>0</v>
      </c>
      <c r="AO27" s="14" t="b">
        <v>0</v>
      </c>
      <c r="AP27" s="14">
        <v>3</v>
      </c>
      <c r="AQ27" s="14" t="b">
        <v>0</v>
      </c>
    </row>
    <row r="28" spans="1:43">
      <c r="A28" s="12">
        <v>22</v>
      </c>
      <c r="B28" s="12">
        <v>683</v>
      </c>
      <c r="C28" s="12" t="s">
        <v>699</v>
      </c>
      <c r="D28" s="12" t="s">
        <v>204</v>
      </c>
      <c r="E28" s="16">
        <v>44994</v>
      </c>
      <c r="F28" s="46">
        <v>45896</v>
      </c>
      <c r="G28" s="7" t="s">
        <v>471</v>
      </c>
      <c r="H28" s="7" t="s">
        <v>494</v>
      </c>
      <c r="I28" s="21" t="s">
        <v>68</v>
      </c>
      <c r="J28" s="21"/>
      <c r="K28" s="22"/>
      <c r="L28" s="7" t="s">
        <v>47</v>
      </c>
      <c r="M28" s="7" t="s">
        <v>92</v>
      </c>
      <c r="N28" s="7" t="s">
        <v>92</v>
      </c>
      <c r="O28" s="7" t="s">
        <v>113</v>
      </c>
      <c r="P28" s="17">
        <f>SUMIFS('2024'!J:J,'2024'!C:C,Sheet1!C28)</f>
        <v>85000</v>
      </c>
      <c r="Q28" s="12"/>
      <c r="R28" s="7" t="s">
        <v>47</v>
      </c>
      <c r="S28" s="7" t="s">
        <v>50</v>
      </c>
      <c r="T28" s="7" t="s">
        <v>205</v>
      </c>
      <c r="U28" s="7" t="s">
        <v>504</v>
      </c>
      <c r="V28" s="7" t="s">
        <v>536</v>
      </c>
      <c r="W28" s="43" t="s">
        <v>535</v>
      </c>
      <c r="X28" s="18"/>
      <c r="Y28" s="19"/>
      <c r="Z28" s="12"/>
      <c r="AA28" s="12"/>
      <c r="AB28" s="12"/>
      <c r="AC28" s="14"/>
      <c r="AD28" s="14">
        <v>0</v>
      </c>
      <c r="AE28" s="14" t="s">
        <v>206</v>
      </c>
      <c r="AF28" s="14" t="b">
        <v>0</v>
      </c>
      <c r="AG28" s="14"/>
      <c r="AH28" s="14"/>
      <c r="AI28" s="14"/>
      <c r="AJ28" s="14"/>
      <c r="AK28" s="14">
        <v>1</v>
      </c>
      <c r="AL28" s="14"/>
      <c r="AM28" s="14" t="s">
        <v>207</v>
      </c>
      <c r="AN28" s="14">
        <v>0</v>
      </c>
      <c r="AO28" s="14" t="b">
        <v>0</v>
      </c>
      <c r="AP28" s="14">
        <v>3</v>
      </c>
      <c r="AQ28" s="14" t="b">
        <v>0</v>
      </c>
    </row>
    <row r="29" spans="1:43">
      <c r="A29" s="12">
        <v>23</v>
      </c>
      <c r="B29" s="12">
        <v>983</v>
      </c>
      <c r="C29" s="12" t="s">
        <v>701</v>
      </c>
      <c r="D29" s="12" t="s">
        <v>208</v>
      </c>
      <c r="E29" s="16">
        <v>44953</v>
      </c>
      <c r="F29" s="46">
        <v>45905</v>
      </c>
      <c r="G29" s="7" t="s">
        <v>471</v>
      </c>
      <c r="H29" s="7" t="s">
        <v>494</v>
      </c>
      <c r="I29" s="12" t="s">
        <v>45</v>
      </c>
      <c r="J29" s="12"/>
      <c r="K29" s="7"/>
      <c r="L29" s="7" t="s">
        <v>47</v>
      </c>
      <c r="M29" s="7" t="s">
        <v>92</v>
      </c>
      <c r="N29" s="7" t="s">
        <v>48</v>
      </c>
      <c r="O29" s="7" t="s">
        <v>113</v>
      </c>
      <c r="P29" s="17">
        <f>SUMIFS('2024'!J:J,'2024'!C:C,Sheet1!C29)</f>
        <v>2798957</v>
      </c>
      <c r="Q29" s="7" t="s">
        <v>168</v>
      </c>
      <c r="R29" s="7" t="s">
        <v>47</v>
      </c>
      <c r="S29" s="7" t="s">
        <v>50</v>
      </c>
      <c r="T29" s="7" t="s">
        <v>209</v>
      </c>
      <c r="U29" s="7" t="s">
        <v>514</v>
      </c>
      <c r="V29" s="7"/>
      <c r="W29" s="7"/>
      <c r="X29" s="18" t="s">
        <v>210</v>
      </c>
      <c r="Y29" s="19"/>
      <c r="Z29" s="12" t="s">
        <v>211</v>
      </c>
      <c r="AA29" s="12" t="s">
        <v>212</v>
      </c>
      <c r="AB29" s="12" t="s">
        <v>213</v>
      </c>
      <c r="AC29" s="14"/>
      <c r="AD29" s="14">
        <v>0</v>
      </c>
      <c r="AE29" s="14" t="s">
        <v>214</v>
      </c>
      <c r="AF29" s="14" t="b">
        <v>0</v>
      </c>
      <c r="AG29" s="14"/>
      <c r="AH29" s="14" t="s">
        <v>75</v>
      </c>
      <c r="AI29" s="14"/>
      <c r="AJ29" s="14" t="s">
        <v>215</v>
      </c>
      <c r="AK29" s="14">
        <v>3</v>
      </c>
      <c r="AL29" s="14" t="s">
        <v>216</v>
      </c>
      <c r="AM29" s="14" t="s">
        <v>60</v>
      </c>
      <c r="AN29" s="14">
        <v>0</v>
      </c>
      <c r="AO29" s="14" t="b">
        <v>0</v>
      </c>
      <c r="AP29" s="14">
        <v>3</v>
      </c>
      <c r="AQ29" s="14" t="b">
        <v>0</v>
      </c>
    </row>
    <row r="30" spans="1:43">
      <c r="A30" s="12">
        <v>24</v>
      </c>
      <c r="B30" s="12">
        <v>447</v>
      </c>
      <c r="C30" s="12" t="s">
        <v>490</v>
      </c>
      <c r="D30" s="12" t="s">
        <v>217</v>
      </c>
      <c r="E30" s="16">
        <v>44977</v>
      </c>
      <c r="F30" s="47"/>
      <c r="G30" s="7" t="s">
        <v>471</v>
      </c>
      <c r="H30" s="7" t="s">
        <v>494</v>
      </c>
      <c r="I30" s="21" t="s">
        <v>68</v>
      </c>
      <c r="J30" s="21"/>
      <c r="K30" s="22"/>
      <c r="L30" s="7" t="s">
        <v>47</v>
      </c>
      <c r="M30" s="7" t="s">
        <v>92</v>
      </c>
      <c r="N30" s="7" t="s">
        <v>218</v>
      </c>
      <c r="O30" s="7" t="s">
        <v>113</v>
      </c>
      <c r="P30" s="17">
        <f>SUMIFS('2024'!J:J,'2024'!C:C,Sheet1!C30)</f>
        <v>5008320</v>
      </c>
      <c r="Q30" s="12"/>
      <c r="R30" s="7" t="s">
        <v>47</v>
      </c>
      <c r="S30" s="7" t="s">
        <v>219</v>
      </c>
      <c r="T30" s="7" t="s">
        <v>220</v>
      </c>
      <c r="U30" s="7" t="s">
        <v>514</v>
      </c>
      <c r="V30" s="7" t="s">
        <v>761</v>
      </c>
      <c r="W30" s="7" t="s">
        <v>761</v>
      </c>
      <c r="X30" s="18" t="s">
        <v>221</v>
      </c>
      <c r="Y30" s="19" t="s">
        <v>222</v>
      </c>
      <c r="Z30" s="12" t="s">
        <v>223</v>
      </c>
      <c r="AA30" s="12" t="s">
        <v>224</v>
      </c>
      <c r="AB30" s="12" t="s">
        <v>225</v>
      </c>
      <c r="AC30" s="14"/>
      <c r="AD30" s="14">
        <v>0</v>
      </c>
      <c r="AE30" s="14" t="s">
        <v>226</v>
      </c>
      <c r="AF30" s="14" t="b">
        <v>1</v>
      </c>
      <c r="AG30" s="14"/>
      <c r="AH30" s="14" t="s">
        <v>75</v>
      </c>
      <c r="AI30" s="14"/>
      <c r="AJ30" s="14" t="s">
        <v>227</v>
      </c>
      <c r="AK30" s="14">
        <v>3</v>
      </c>
      <c r="AL30" s="14" t="s">
        <v>228</v>
      </c>
      <c r="AM30" s="14" t="s">
        <v>60</v>
      </c>
      <c r="AN30" s="14">
        <v>0</v>
      </c>
      <c r="AO30" s="14" t="b">
        <v>0</v>
      </c>
      <c r="AP30" s="14">
        <v>3</v>
      </c>
      <c r="AQ30" s="14" t="b">
        <v>0</v>
      </c>
    </row>
    <row r="31" spans="1:43">
      <c r="A31" s="12">
        <v>25</v>
      </c>
      <c r="B31" s="12">
        <v>130</v>
      </c>
      <c r="C31" s="12" t="s">
        <v>703</v>
      </c>
      <c r="D31" s="12" t="s">
        <v>229</v>
      </c>
      <c r="E31" s="16">
        <v>44858</v>
      </c>
      <c r="F31" s="47"/>
      <c r="G31" s="7" t="s">
        <v>471</v>
      </c>
      <c r="H31" s="7" t="s">
        <v>494</v>
      </c>
      <c r="I31" s="21" t="s">
        <v>68</v>
      </c>
      <c r="J31" s="21"/>
      <c r="K31" s="21"/>
      <c r="L31" s="7" t="s">
        <v>92</v>
      </c>
      <c r="M31" s="7" t="s">
        <v>92</v>
      </c>
      <c r="N31" s="7" t="s">
        <v>92</v>
      </c>
      <c r="O31" s="7" t="s">
        <v>113</v>
      </c>
      <c r="P31" s="17">
        <f>SUMIFS('2024'!J:J,'2024'!C:C,Sheet1!C31)</f>
        <v>1936830</v>
      </c>
      <c r="Q31" s="7" t="s">
        <v>157</v>
      </c>
      <c r="R31" s="7" t="s">
        <v>47</v>
      </c>
      <c r="S31" s="7" t="s">
        <v>124</v>
      </c>
      <c r="T31" s="7" t="s">
        <v>230</v>
      </c>
      <c r="U31" s="7" t="s">
        <v>514</v>
      </c>
      <c r="V31" s="7"/>
      <c r="W31" s="7"/>
      <c r="X31" s="18" t="s">
        <v>231</v>
      </c>
      <c r="Y31" s="19"/>
      <c r="Z31" s="12" t="s">
        <v>232</v>
      </c>
      <c r="AA31" s="12" t="s">
        <v>233</v>
      </c>
      <c r="AB31" s="12" t="s">
        <v>234</v>
      </c>
      <c r="AC31" s="14"/>
      <c r="AD31" s="14">
        <v>0</v>
      </c>
      <c r="AE31" s="14" t="s">
        <v>235</v>
      </c>
      <c r="AF31" s="14" t="b">
        <v>0</v>
      </c>
      <c r="AG31" s="14"/>
      <c r="AH31" s="14" t="s">
        <v>236</v>
      </c>
      <c r="AI31" s="14"/>
      <c r="AJ31" s="14" t="s">
        <v>237</v>
      </c>
      <c r="AK31" s="14">
        <v>3</v>
      </c>
      <c r="AL31" s="14" t="s">
        <v>238</v>
      </c>
      <c r="AM31" s="14" t="s">
        <v>98</v>
      </c>
      <c r="AN31" s="14">
        <v>0</v>
      </c>
      <c r="AO31" s="14" t="b">
        <v>0</v>
      </c>
      <c r="AP31" s="14">
        <v>3</v>
      </c>
      <c r="AQ31" s="14" t="b">
        <v>0</v>
      </c>
    </row>
    <row r="32" spans="1:43">
      <c r="A32" s="12">
        <v>26</v>
      </c>
      <c r="B32" s="12">
        <v>83</v>
      </c>
      <c r="C32" s="15" t="s">
        <v>239</v>
      </c>
      <c r="D32" s="15" t="s">
        <v>240</v>
      </c>
      <c r="E32" s="37">
        <v>45015</v>
      </c>
      <c r="F32" s="47"/>
      <c r="G32" s="7" t="s">
        <v>471</v>
      </c>
      <c r="H32" s="7" t="s">
        <v>494</v>
      </c>
      <c r="I32" s="12" t="s">
        <v>45</v>
      </c>
      <c r="J32" s="12"/>
      <c r="K32" s="7"/>
      <c r="L32" s="7" t="s">
        <v>47</v>
      </c>
      <c r="M32" s="7" t="s">
        <v>92</v>
      </c>
      <c r="N32" s="7" t="s">
        <v>92</v>
      </c>
      <c r="O32" s="7" t="s">
        <v>113</v>
      </c>
      <c r="P32" s="17">
        <f>SUMIFS('2024'!J:J,'2024'!C:C,Sheet1!C32)</f>
        <v>2976600</v>
      </c>
      <c r="Q32" s="7" t="s">
        <v>93</v>
      </c>
      <c r="R32" s="7" t="s">
        <v>47</v>
      </c>
      <c r="S32" s="7" t="s">
        <v>147</v>
      </c>
      <c r="T32" s="7" t="s">
        <v>241</v>
      </c>
      <c r="U32" s="7" t="s">
        <v>526</v>
      </c>
      <c r="V32" s="7"/>
      <c r="W32" s="7"/>
      <c r="X32" s="18" t="s">
        <v>242</v>
      </c>
      <c r="Y32" s="19"/>
      <c r="Z32" s="12" t="s">
        <v>243</v>
      </c>
      <c r="AA32" s="15" t="s">
        <v>244</v>
      </c>
      <c r="AB32" s="15" t="s">
        <v>245</v>
      </c>
      <c r="AC32" s="14"/>
      <c r="AD32" s="14">
        <v>0</v>
      </c>
      <c r="AE32" s="14" t="s">
        <v>246</v>
      </c>
      <c r="AF32" s="14" t="b">
        <v>1</v>
      </c>
      <c r="AG32" s="14"/>
      <c r="AH32" s="14" t="s">
        <v>132</v>
      </c>
      <c r="AI32" s="14"/>
      <c r="AJ32" s="14" t="s">
        <v>215</v>
      </c>
      <c r="AK32" s="14">
        <v>3</v>
      </c>
      <c r="AL32" s="14" t="s">
        <v>247</v>
      </c>
      <c r="AM32" s="14" t="s">
        <v>98</v>
      </c>
      <c r="AN32" s="14">
        <v>0</v>
      </c>
      <c r="AO32" s="14" t="b">
        <v>0</v>
      </c>
      <c r="AP32" s="14">
        <v>3</v>
      </c>
      <c r="AQ32" s="14" t="b">
        <v>0</v>
      </c>
    </row>
    <row r="33" spans="1:43">
      <c r="A33" s="12">
        <v>27</v>
      </c>
      <c r="B33" s="12">
        <v>141</v>
      </c>
      <c r="C33" s="12" t="s">
        <v>706</v>
      </c>
      <c r="D33" s="12" t="s">
        <v>248</v>
      </c>
      <c r="E33" s="16">
        <v>45005</v>
      </c>
      <c r="F33" s="46">
        <v>45910</v>
      </c>
      <c r="G33" s="7" t="s">
        <v>471</v>
      </c>
      <c r="H33" s="7" t="s">
        <v>494</v>
      </c>
      <c r="I33" s="21" t="s">
        <v>68</v>
      </c>
      <c r="J33" s="21"/>
      <c r="K33" s="22"/>
      <c r="L33" s="7" t="s">
        <v>47</v>
      </c>
      <c r="M33" s="7" t="s">
        <v>92</v>
      </c>
      <c r="N33" s="7" t="s">
        <v>92</v>
      </c>
      <c r="O33" s="7" t="s">
        <v>113</v>
      </c>
      <c r="P33" s="17">
        <f>SUMIFS('2024'!J:J,'2024'!C:C,Sheet1!C33)</f>
        <v>36545</v>
      </c>
      <c r="Q33" s="7" t="s">
        <v>49</v>
      </c>
      <c r="R33" s="7" t="s">
        <v>47</v>
      </c>
      <c r="S33" s="7" t="s">
        <v>50</v>
      </c>
      <c r="T33" s="7" t="s">
        <v>249</v>
      </c>
      <c r="U33" s="7" t="s">
        <v>514</v>
      </c>
      <c r="V33" s="7"/>
      <c r="W33" s="7"/>
      <c r="X33" s="18" t="s">
        <v>250</v>
      </c>
      <c r="Y33" s="19" t="s">
        <v>251</v>
      </c>
      <c r="Z33" s="12" t="s">
        <v>252</v>
      </c>
      <c r="AA33" s="12" t="s">
        <v>253</v>
      </c>
      <c r="AB33" s="12" t="s">
        <v>254</v>
      </c>
      <c r="AC33" s="14"/>
      <c r="AD33" s="14">
        <v>0</v>
      </c>
      <c r="AE33" s="14" t="s">
        <v>255</v>
      </c>
      <c r="AF33" s="14" t="b">
        <v>0</v>
      </c>
      <c r="AG33" s="14"/>
      <c r="AH33" s="14" t="s">
        <v>153</v>
      </c>
      <c r="AI33" s="14"/>
      <c r="AJ33" s="14" t="s">
        <v>256</v>
      </c>
      <c r="AK33" s="14">
        <v>3</v>
      </c>
      <c r="AL33" s="14" t="s">
        <v>257</v>
      </c>
      <c r="AM33" s="14" t="s">
        <v>60</v>
      </c>
      <c r="AN33" s="14">
        <v>0</v>
      </c>
      <c r="AO33" s="14" t="b">
        <v>0</v>
      </c>
      <c r="AP33" s="14">
        <v>3</v>
      </c>
      <c r="AQ33" s="14" t="b">
        <v>0</v>
      </c>
    </row>
    <row r="34" spans="1:43">
      <c r="A34" s="12">
        <v>28</v>
      </c>
      <c r="B34" s="12">
        <v>1062</v>
      </c>
      <c r="C34" s="12" t="s">
        <v>708</v>
      </c>
      <c r="D34" s="15" t="s">
        <v>258</v>
      </c>
      <c r="E34" s="37">
        <v>45009</v>
      </c>
      <c r="F34" s="46">
        <v>45779</v>
      </c>
      <c r="G34" s="7" t="s">
        <v>471</v>
      </c>
      <c r="H34" s="7" t="s">
        <v>494</v>
      </c>
      <c r="I34" s="21" t="s">
        <v>68</v>
      </c>
      <c r="J34" s="21"/>
      <c r="K34" s="22"/>
      <c r="L34" s="7" t="s">
        <v>47</v>
      </c>
      <c r="M34" s="7" t="s">
        <v>259</v>
      </c>
      <c r="N34" s="7" t="s">
        <v>92</v>
      </c>
      <c r="O34" s="7" t="s">
        <v>113</v>
      </c>
      <c r="P34" s="17">
        <f>SUMIFS('2024'!J:J,'2024'!C:C,Sheet1!C34)</f>
        <v>5122693</v>
      </c>
      <c r="Q34" s="12"/>
      <c r="R34" s="7" t="s">
        <v>47</v>
      </c>
      <c r="S34" s="8" t="s">
        <v>124</v>
      </c>
      <c r="T34" s="7" t="s">
        <v>260</v>
      </c>
      <c r="U34" s="28" t="s">
        <v>523</v>
      </c>
      <c r="V34" s="7"/>
      <c r="W34" s="7"/>
      <c r="X34" s="18" t="s">
        <v>261</v>
      </c>
      <c r="Y34" s="19" t="s">
        <v>262</v>
      </c>
      <c r="Z34" s="12" t="s">
        <v>263</v>
      </c>
      <c r="AA34" s="15" t="s">
        <v>264</v>
      </c>
      <c r="AB34" s="15" t="s">
        <v>265</v>
      </c>
      <c r="AC34" s="14"/>
      <c r="AD34" s="14">
        <v>0</v>
      </c>
      <c r="AE34" s="14" t="s">
        <v>266</v>
      </c>
      <c r="AF34" s="14" t="b">
        <v>0</v>
      </c>
      <c r="AG34" s="14"/>
      <c r="AH34" s="14" t="s">
        <v>75</v>
      </c>
      <c r="AI34" s="14"/>
      <c r="AJ34" s="14" t="s">
        <v>267</v>
      </c>
      <c r="AK34" s="14">
        <v>3</v>
      </c>
      <c r="AL34" s="14" t="s">
        <v>268</v>
      </c>
      <c r="AM34" s="14" t="s">
        <v>98</v>
      </c>
      <c r="AN34" s="14">
        <v>0</v>
      </c>
      <c r="AO34" s="14" t="b">
        <v>0</v>
      </c>
      <c r="AP34" s="14">
        <v>3</v>
      </c>
      <c r="AQ34" s="14" t="b">
        <v>0</v>
      </c>
    </row>
    <row r="35" spans="1:43">
      <c r="A35" s="12">
        <v>29</v>
      </c>
      <c r="B35" s="12">
        <v>73</v>
      </c>
      <c r="C35" s="12" t="s">
        <v>710</v>
      </c>
      <c r="D35" s="12" t="s">
        <v>145</v>
      </c>
      <c r="E35" s="16">
        <v>44991</v>
      </c>
      <c r="F35" s="46">
        <v>45917</v>
      </c>
      <c r="G35" s="7" t="s">
        <v>471</v>
      </c>
      <c r="H35" s="7" t="s">
        <v>494</v>
      </c>
      <c r="I35" s="12" t="s">
        <v>45</v>
      </c>
      <c r="J35" s="12"/>
      <c r="K35" s="7"/>
      <c r="L35" s="7" t="s">
        <v>47</v>
      </c>
      <c r="M35" s="7" t="s">
        <v>92</v>
      </c>
      <c r="N35" s="7" t="s">
        <v>92</v>
      </c>
      <c r="O35" s="7" t="s">
        <v>113</v>
      </c>
      <c r="P35" s="17">
        <f>SUMIFS('2024'!J:J,'2024'!C:C,Sheet1!C35)</f>
        <v>4763331</v>
      </c>
      <c r="Q35" s="7" t="s">
        <v>157</v>
      </c>
      <c r="R35" s="7" t="s">
        <v>47</v>
      </c>
      <c r="S35" s="7" t="s">
        <v>147</v>
      </c>
      <c r="T35" s="7" t="s">
        <v>148</v>
      </c>
      <c r="U35" s="7" t="s">
        <v>537</v>
      </c>
      <c r="V35" s="7"/>
      <c r="W35" s="7"/>
      <c r="X35" s="18" t="s">
        <v>269</v>
      </c>
      <c r="Y35" s="19" t="s">
        <v>270</v>
      </c>
      <c r="Z35" s="12" t="s">
        <v>271</v>
      </c>
      <c r="AA35" s="12" t="s">
        <v>272</v>
      </c>
      <c r="AB35" s="12" t="s">
        <v>273</v>
      </c>
      <c r="AC35" s="14"/>
      <c r="AD35" s="14">
        <v>0</v>
      </c>
      <c r="AE35" s="14" t="s">
        <v>274</v>
      </c>
      <c r="AF35" s="14" t="b">
        <v>0</v>
      </c>
      <c r="AG35" s="14"/>
      <c r="AH35" s="14" t="s">
        <v>275</v>
      </c>
      <c r="AI35" s="14"/>
      <c r="AJ35" s="14" t="s">
        <v>276</v>
      </c>
      <c r="AK35" s="14">
        <v>3</v>
      </c>
      <c r="AL35" s="14" t="s">
        <v>277</v>
      </c>
      <c r="AM35" s="14" t="s">
        <v>98</v>
      </c>
      <c r="AN35" s="14">
        <v>0</v>
      </c>
      <c r="AO35" s="14" t="b">
        <v>0</v>
      </c>
      <c r="AP35" s="14">
        <v>3</v>
      </c>
      <c r="AQ35" s="14" t="b">
        <v>0</v>
      </c>
    </row>
    <row r="36" spans="1:43">
      <c r="A36" s="12">
        <v>30</v>
      </c>
      <c r="B36" s="12">
        <v>140</v>
      </c>
      <c r="C36" s="12" t="s">
        <v>712</v>
      </c>
      <c r="D36" s="12" t="s">
        <v>278</v>
      </c>
      <c r="E36" s="16">
        <v>44956</v>
      </c>
      <c r="F36" s="46">
        <v>45924</v>
      </c>
      <c r="G36" s="7" t="s">
        <v>471</v>
      </c>
      <c r="H36" s="7" t="s">
        <v>494</v>
      </c>
      <c r="I36" s="12" t="s">
        <v>45</v>
      </c>
      <c r="J36" s="12"/>
      <c r="K36" s="7"/>
      <c r="L36" s="7" t="s">
        <v>47</v>
      </c>
      <c r="M36" s="7" t="s">
        <v>92</v>
      </c>
      <c r="N36" s="7" t="s">
        <v>92</v>
      </c>
      <c r="O36" s="7" t="s">
        <v>113</v>
      </c>
      <c r="P36" s="17">
        <f>SUMIFS('2024'!J:J,'2024'!C:C,Sheet1!C36)</f>
        <v>457600</v>
      </c>
      <c r="Q36" s="7" t="s">
        <v>168</v>
      </c>
      <c r="R36" s="7" t="s">
        <v>47</v>
      </c>
      <c r="S36" s="7" t="s">
        <v>50</v>
      </c>
      <c r="T36" s="7" t="s">
        <v>279</v>
      </c>
      <c r="U36" s="7" t="s">
        <v>537</v>
      </c>
      <c r="V36" s="7"/>
      <c r="W36" s="7"/>
      <c r="X36" s="18" t="s">
        <v>280</v>
      </c>
      <c r="Y36" s="19"/>
      <c r="Z36" s="12" t="s">
        <v>281</v>
      </c>
      <c r="AA36" s="12" t="s">
        <v>282</v>
      </c>
      <c r="AB36" s="12" t="s">
        <v>283</v>
      </c>
      <c r="AC36" s="14"/>
      <c r="AD36" s="14">
        <v>0</v>
      </c>
      <c r="AE36" s="14" t="s">
        <v>284</v>
      </c>
      <c r="AF36" s="14" t="b">
        <v>0</v>
      </c>
      <c r="AG36" s="14"/>
      <c r="AH36" s="14" t="s">
        <v>164</v>
      </c>
      <c r="AI36" s="14"/>
      <c r="AJ36" s="14" t="s">
        <v>285</v>
      </c>
      <c r="AK36" s="14">
        <v>3</v>
      </c>
      <c r="AL36" s="14" t="s">
        <v>286</v>
      </c>
      <c r="AM36" s="14" t="s">
        <v>98</v>
      </c>
      <c r="AN36" s="14">
        <v>0</v>
      </c>
      <c r="AO36" s="14" t="b">
        <v>0</v>
      </c>
      <c r="AP36" s="14">
        <v>3</v>
      </c>
      <c r="AQ36" s="14" t="b">
        <v>0</v>
      </c>
    </row>
    <row r="37" spans="1:43">
      <c r="A37" s="12">
        <v>31</v>
      </c>
      <c r="B37" s="12">
        <v>549</v>
      </c>
      <c r="C37" s="12" t="s">
        <v>714</v>
      </c>
      <c r="D37" s="12" t="s">
        <v>287</v>
      </c>
      <c r="E37" s="16">
        <v>44953</v>
      </c>
      <c r="F37" s="46">
        <v>45926</v>
      </c>
      <c r="G37" s="7" t="s">
        <v>471</v>
      </c>
      <c r="H37" s="7" t="s">
        <v>494</v>
      </c>
      <c r="I37" s="12" t="s">
        <v>45</v>
      </c>
      <c r="J37" s="12"/>
      <c r="K37" s="7"/>
      <c r="L37" s="7" t="s">
        <v>47</v>
      </c>
      <c r="M37" s="7" t="s">
        <v>92</v>
      </c>
      <c r="N37" s="7" t="s">
        <v>92</v>
      </c>
      <c r="O37" s="7" t="s">
        <v>113</v>
      </c>
      <c r="P37" s="17">
        <f>SUMIFS('2024'!J:J,'2024'!C:C,Sheet1!C37)</f>
        <v>3328460</v>
      </c>
      <c r="Q37" s="7" t="s">
        <v>168</v>
      </c>
      <c r="R37" s="7" t="s">
        <v>47</v>
      </c>
      <c r="S37" s="7" t="s">
        <v>147</v>
      </c>
      <c r="T37" s="7" t="s">
        <v>260</v>
      </c>
      <c r="U37" s="7" t="s">
        <v>537</v>
      </c>
      <c r="V37" s="7"/>
      <c r="W37" s="7"/>
      <c r="X37" s="18" t="s">
        <v>288</v>
      </c>
      <c r="Y37" s="19"/>
      <c r="Z37" s="12" t="s">
        <v>289</v>
      </c>
      <c r="AA37" s="12" t="s">
        <v>290</v>
      </c>
      <c r="AB37" s="12" t="s">
        <v>291</v>
      </c>
      <c r="AC37" s="14"/>
      <c r="AD37" s="14">
        <v>0</v>
      </c>
      <c r="AE37" s="14" t="s">
        <v>292</v>
      </c>
      <c r="AF37" s="14" t="b">
        <v>0</v>
      </c>
      <c r="AG37" s="14"/>
      <c r="AH37" s="14" t="s">
        <v>57</v>
      </c>
      <c r="AI37" s="14"/>
      <c r="AJ37" s="14" t="s">
        <v>293</v>
      </c>
      <c r="AK37" s="14">
        <v>3</v>
      </c>
      <c r="AL37" s="14" t="s">
        <v>294</v>
      </c>
      <c r="AM37" s="14" t="s">
        <v>60</v>
      </c>
      <c r="AN37" s="14">
        <v>0</v>
      </c>
      <c r="AO37" s="14" t="b">
        <v>0</v>
      </c>
      <c r="AP37" s="14">
        <v>3</v>
      </c>
      <c r="AQ37" s="14" t="b">
        <v>0</v>
      </c>
    </row>
    <row r="38" spans="1:43">
      <c r="A38" s="12">
        <v>32</v>
      </c>
      <c r="B38" s="12">
        <v>334</v>
      </c>
      <c r="C38" s="12" t="s">
        <v>716</v>
      </c>
      <c r="D38" s="12" t="s">
        <v>295</v>
      </c>
      <c r="E38" s="16">
        <v>45014</v>
      </c>
      <c r="F38" s="46">
        <v>45930</v>
      </c>
      <c r="G38" s="7" t="s">
        <v>471</v>
      </c>
      <c r="H38" s="7" t="s">
        <v>494</v>
      </c>
      <c r="I38" s="21" t="s">
        <v>68</v>
      </c>
      <c r="J38" s="21"/>
      <c r="K38" s="22"/>
      <c r="L38" s="7" t="s">
        <v>47</v>
      </c>
      <c r="M38" s="7" t="s">
        <v>259</v>
      </c>
      <c r="N38" s="7" t="s">
        <v>48</v>
      </c>
      <c r="O38" s="7" t="s">
        <v>113</v>
      </c>
      <c r="P38" s="17">
        <f>SUMIFS('2024'!J:J,'2024'!C:C,Sheet1!C38)</f>
        <v>963800</v>
      </c>
      <c r="Q38" s="12"/>
      <c r="R38" s="7" t="s">
        <v>47</v>
      </c>
      <c r="S38" s="7" t="s">
        <v>147</v>
      </c>
      <c r="T38" s="7" t="s">
        <v>296</v>
      </c>
      <c r="U38" s="7" t="s">
        <v>537</v>
      </c>
      <c r="V38" s="7"/>
      <c r="W38" s="7"/>
      <c r="X38" s="18" t="s">
        <v>297</v>
      </c>
      <c r="Y38" s="19"/>
      <c r="Z38" s="12" t="s">
        <v>298</v>
      </c>
      <c r="AA38" s="12" t="s">
        <v>299</v>
      </c>
      <c r="AB38" s="12" t="s">
        <v>300</v>
      </c>
      <c r="AC38" s="14"/>
      <c r="AD38" s="14">
        <v>0</v>
      </c>
      <c r="AE38" s="14" t="s">
        <v>301</v>
      </c>
      <c r="AF38" s="14" t="b">
        <v>0</v>
      </c>
      <c r="AG38" s="14"/>
      <c r="AH38" s="14" t="s">
        <v>302</v>
      </c>
      <c r="AI38" s="14"/>
      <c r="AJ38" s="14" t="s">
        <v>303</v>
      </c>
      <c r="AK38" s="14">
        <v>3</v>
      </c>
      <c r="AL38" s="14" t="s">
        <v>304</v>
      </c>
      <c r="AM38" s="14" t="s">
        <v>98</v>
      </c>
      <c r="AN38" s="14">
        <v>0</v>
      </c>
      <c r="AO38" s="14" t="b">
        <v>0</v>
      </c>
      <c r="AP38" s="14">
        <v>3</v>
      </c>
      <c r="AQ38" s="14" t="b">
        <v>0</v>
      </c>
    </row>
    <row r="39" spans="1:43">
      <c r="A39" s="12">
        <v>33</v>
      </c>
      <c r="B39" s="12">
        <v>1053</v>
      </c>
      <c r="C39" s="12" t="s">
        <v>491</v>
      </c>
      <c r="D39" s="12" t="s">
        <v>305</v>
      </c>
      <c r="E39" s="16">
        <v>44986</v>
      </c>
      <c r="F39" s="46">
        <v>45565</v>
      </c>
      <c r="G39" s="7" t="s">
        <v>471</v>
      </c>
      <c r="H39" s="7" t="s">
        <v>494</v>
      </c>
      <c r="I39" s="12" t="s">
        <v>45</v>
      </c>
      <c r="J39" s="12"/>
      <c r="K39" s="7"/>
      <c r="L39" s="7" t="s">
        <v>47</v>
      </c>
      <c r="M39" s="7" t="s">
        <v>92</v>
      </c>
      <c r="N39" s="7" t="s">
        <v>92</v>
      </c>
      <c r="O39" s="7" t="s">
        <v>113</v>
      </c>
      <c r="P39" s="17">
        <f>SUMIFS('2024'!J:J,'2024'!C:C,Sheet1!C39)</f>
        <v>0</v>
      </c>
      <c r="Q39" s="7" t="s">
        <v>93</v>
      </c>
      <c r="R39" s="7" t="s">
        <v>259</v>
      </c>
      <c r="S39" s="7" t="s">
        <v>50</v>
      </c>
      <c r="T39" s="7" t="s">
        <v>306</v>
      </c>
      <c r="U39" s="7" t="s">
        <v>537</v>
      </c>
      <c r="V39" s="7"/>
      <c r="W39" s="7"/>
      <c r="X39" s="18" t="s">
        <v>307</v>
      </c>
      <c r="Y39" s="19" t="s">
        <v>49</v>
      </c>
      <c r="Z39" s="12" t="s">
        <v>308</v>
      </c>
      <c r="AA39" s="12" t="s">
        <v>309</v>
      </c>
      <c r="AB39" s="12" t="s">
        <v>310</v>
      </c>
      <c r="AC39" s="14"/>
      <c r="AD39" s="14">
        <v>0</v>
      </c>
      <c r="AE39" s="14" t="s">
        <v>311</v>
      </c>
      <c r="AF39" s="14" t="b">
        <v>0</v>
      </c>
      <c r="AG39" s="14"/>
      <c r="AH39" s="14" t="s">
        <v>75</v>
      </c>
      <c r="AI39" s="14"/>
      <c r="AJ39" s="14" t="s">
        <v>312</v>
      </c>
      <c r="AK39" s="14">
        <v>3</v>
      </c>
      <c r="AL39" s="14" t="s">
        <v>313</v>
      </c>
      <c r="AM39" s="14" t="s">
        <v>98</v>
      </c>
      <c r="AN39" s="14">
        <v>0</v>
      </c>
      <c r="AO39" s="14" t="b">
        <v>0</v>
      </c>
      <c r="AP39" s="14">
        <v>3</v>
      </c>
      <c r="AQ39" s="14" t="b">
        <v>0</v>
      </c>
    </row>
    <row r="40" spans="1:43">
      <c r="A40" s="12">
        <v>34</v>
      </c>
      <c r="B40" s="12">
        <v>464</v>
      </c>
      <c r="C40" s="12" t="s">
        <v>718</v>
      </c>
      <c r="D40" s="12" t="s">
        <v>314</v>
      </c>
      <c r="E40" s="16">
        <v>44960</v>
      </c>
      <c r="F40" s="48">
        <v>45576</v>
      </c>
      <c r="G40" s="7" t="s">
        <v>471</v>
      </c>
      <c r="H40" s="7" t="s">
        <v>494</v>
      </c>
      <c r="I40" s="12" t="s">
        <v>45</v>
      </c>
      <c r="J40" s="12"/>
      <c r="K40" s="7"/>
      <c r="L40" s="7" t="s">
        <v>47</v>
      </c>
      <c r="M40" s="7" t="s">
        <v>92</v>
      </c>
      <c r="N40" s="7" t="s">
        <v>92</v>
      </c>
      <c r="O40" s="7" t="s">
        <v>113</v>
      </c>
      <c r="P40" s="17">
        <f>SUMIFS('2024'!J:J,'2024'!C:C,Sheet1!C40)</f>
        <v>2327800</v>
      </c>
      <c r="Q40" s="7" t="s">
        <v>168</v>
      </c>
      <c r="R40" s="7" t="s">
        <v>47</v>
      </c>
      <c r="S40" s="7" t="s">
        <v>147</v>
      </c>
      <c r="T40" s="7" t="s">
        <v>315</v>
      </c>
      <c r="U40" s="7" t="s">
        <v>537</v>
      </c>
      <c r="V40" s="7" t="s">
        <v>538</v>
      </c>
      <c r="W40" s="7" t="s">
        <v>539</v>
      </c>
      <c r="X40" s="18"/>
      <c r="Y40" s="19"/>
      <c r="Z40" s="12"/>
      <c r="AA40" s="12" t="s">
        <v>316</v>
      </c>
      <c r="AB40" s="12" t="s">
        <v>317</v>
      </c>
      <c r="AC40" s="14"/>
      <c r="AD40" s="14">
        <v>0</v>
      </c>
      <c r="AE40" s="14" t="s">
        <v>318</v>
      </c>
      <c r="AF40" s="14" t="b">
        <v>0</v>
      </c>
      <c r="AG40" s="14"/>
      <c r="AH40" s="14" t="s">
        <v>153</v>
      </c>
      <c r="AI40" s="14"/>
      <c r="AJ40" s="14" t="s">
        <v>319</v>
      </c>
      <c r="AK40" s="14">
        <v>3</v>
      </c>
      <c r="AL40" s="14" t="s">
        <v>320</v>
      </c>
      <c r="AM40" s="14" t="s">
        <v>98</v>
      </c>
      <c r="AN40" s="14">
        <v>0</v>
      </c>
      <c r="AO40" s="14" t="b">
        <v>0</v>
      </c>
      <c r="AP40" s="14">
        <v>3</v>
      </c>
      <c r="AQ40" s="14" t="b">
        <v>0</v>
      </c>
    </row>
    <row r="41" spans="1:43">
      <c r="A41" s="12">
        <v>35</v>
      </c>
      <c r="B41" s="12">
        <v>1047</v>
      </c>
      <c r="C41" s="12" t="s">
        <v>720</v>
      </c>
      <c r="D41" s="12" t="s">
        <v>305</v>
      </c>
      <c r="E41" s="16">
        <v>45005</v>
      </c>
      <c r="F41" s="48">
        <v>45576</v>
      </c>
      <c r="G41" s="7" t="s">
        <v>471</v>
      </c>
      <c r="H41" s="7" t="s">
        <v>494</v>
      </c>
      <c r="I41" s="12" t="s">
        <v>45</v>
      </c>
      <c r="J41" s="12"/>
      <c r="K41" s="7"/>
      <c r="L41" s="7" t="s">
        <v>47</v>
      </c>
      <c r="M41" s="7" t="s">
        <v>92</v>
      </c>
      <c r="N41" s="7" t="s">
        <v>92</v>
      </c>
      <c r="O41" s="7" t="s">
        <v>113</v>
      </c>
      <c r="P41" s="17">
        <f>SUMIFS('2024'!J:J,'2024'!C:C,Sheet1!C41)</f>
        <v>161340</v>
      </c>
      <c r="Q41" s="7" t="s">
        <v>168</v>
      </c>
      <c r="R41" s="7" t="s">
        <v>47</v>
      </c>
      <c r="S41" s="7" t="s">
        <v>50</v>
      </c>
      <c r="T41" s="7" t="s">
        <v>306</v>
      </c>
      <c r="U41" s="7" t="s">
        <v>537</v>
      </c>
      <c r="V41" s="7" t="s">
        <v>541</v>
      </c>
      <c r="W41" s="43" t="s">
        <v>540</v>
      </c>
      <c r="X41" s="18" t="s">
        <v>49</v>
      </c>
      <c r="Y41" s="19" t="s">
        <v>49</v>
      </c>
      <c r="Z41" s="12" t="s">
        <v>49</v>
      </c>
      <c r="AA41" s="12" t="s">
        <v>49</v>
      </c>
      <c r="AB41" s="12" t="s">
        <v>321</v>
      </c>
      <c r="AC41" s="14"/>
      <c r="AD41" s="14">
        <v>0</v>
      </c>
      <c r="AE41" s="14" t="s">
        <v>322</v>
      </c>
      <c r="AF41" s="14" t="b">
        <v>0</v>
      </c>
      <c r="AG41" s="14"/>
      <c r="AH41" s="14"/>
      <c r="AI41" s="14"/>
      <c r="AJ41" s="14"/>
      <c r="AK41" s="14">
        <v>1</v>
      </c>
      <c r="AL41" s="14"/>
      <c r="AM41" s="14" t="s">
        <v>98</v>
      </c>
      <c r="AN41" s="14">
        <v>0</v>
      </c>
      <c r="AO41" s="14" t="b">
        <v>0</v>
      </c>
      <c r="AP41" s="14">
        <v>3</v>
      </c>
      <c r="AQ41" s="14" t="b">
        <v>0</v>
      </c>
    </row>
    <row r="42" spans="1:43">
      <c r="A42" s="12">
        <v>36</v>
      </c>
      <c r="B42" s="12">
        <v>64</v>
      </c>
      <c r="C42" s="12" t="s">
        <v>722</v>
      </c>
      <c r="D42" s="12" t="s">
        <v>323</v>
      </c>
      <c r="E42" s="16">
        <v>44995</v>
      </c>
      <c r="F42" s="46">
        <v>45814</v>
      </c>
      <c r="G42" s="7" t="s">
        <v>471</v>
      </c>
      <c r="H42" s="7" t="s">
        <v>494</v>
      </c>
      <c r="I42" s="31" t="s">
        <v>324</v>
      </c>
      <c r="J42" s="31"/>
      <c r="K42" s="32"/>
      <c r="L42" s="7" t="s">
        <v>47</v>
      </c>
      <c r="M42" s="7" t="s">
        <v>92</v>
      </c>
      <c r="N42" s="7" t="s">
        <v>92</v>
      </c>
      <c r="O42" s="7" t="s">
        <v>113</v>
      </c>
      <c r="P42" s="17">
        <f>SUMIFS('2024'!J:J,'2024'!C:C,Sheet1!C42)</f>
        <v>858220</v>
      </c>
      <c r="Q42" s="7" t="s">
        <v>325</v>
      </c>
      <c r="R42" s="7" t="s">
        <v>47</v>
      </c>
      <c r="S42" s="7" t="s">
        <v>50</v>
      </c>
      <c r="T42" s="7" t="s">
        <v>326</v>
      </c>
      <c r="U42" s="7" t="s">
        <v>497</v>
      </c>
      <c r="V42" s="7" t="s">
        <v>526</v>
      </c>
      <c r="W42" s="43" t="s">
        <v>542</v>
      </c>
      <c r="X42" s="18" t="s">
        <v>327</v>
      </c>
      <c r="Y42" s="19" t="s">
        <v>328</v>
      </c>
      <c r="Z42" s="12" t="s">
        <v>329</v>
      </c>
      <c r="AA42" s="12" t="s">
        <v>330</v>
      </c>
      <c r="AB42" s="12" t="s">
        <v>331</v>
      </c>
      <c r="AC42" s="14"/>
      <c r="AD42" s="14">
        <v>0</v>
      </c>
      <c r="AE42" s="14" t="s">
        <v>332</v>
      </c>
      <c r="AF42" s="14" t="b">
        <v>0</v>
      </c>
      <c r="AG42" s="14"/>
      <c r="AH42" s="14" t="s">
        <v>333</v>
      </c>
      <c r="AI42" s="14"/>
      <c r="AJ42" s="14" t="s">
        <v>334</v>
      </c>
      <c r="AK42" s="14">
        <v>3</v>
      </c>
      <c r="AL42" s="14" t="s">
        <v>335</v>
      </c>
      <c r="AM42" s="14" t="s">
        <v>98</v>
      </c>
      <c r="AN42" s="14">
        <v>0</v>
      </c>
      <c r="AO42" s="14" t="b">
        <v>0</v>
      </c>
      <c r="AP42" s="14">
        <v>3</v>
      </c>
      <c r="AQ42" s="14" t="b">
        <v>0</v>
      </c>
    </row>
    <row r="43" spans="1:43">
      <c r="A43" s="12">
        <v>37</v>
      </c>
      <c r="B43" s="12">
        <v>347</v>
      </c>
      <c r="C43" s="12" t="s">
        <v>543</v>
      </c>
      <c r="D43" s="12" t="s">
        <v>336</v>
      </c>
      <c r="E43" s="16">
        <v>44995</v>
      </c>
      <c r="F43" s="46">
        <v>45583</v>
      </c>
      <c r="G43" s="7" t="s">
        <v>471</v>
      </c>
      <c r="H43" s="7" t="s">
        <v>494</v>
      </c>
      <c r="I43" s="21" t="s">
        <v>68</v>
      </c>
      <c r="J43" s="21"/>
      <c r="K43" s="22"/>
      <c r="L43" s="7" t="s">
        <v>47</v>
      </c>
      <c r="M43" s="7" t="s">
        <v>92</v>
      </c>
      <c r="N43" s="7" t="s">
        <v>92</v>
      </c>
      <c r="O43" s="7" t="s">
        <v>113</v>
      </c>
      <c r="P43" s="17">
        <v>1268652</v>
      </c>
      <c r="Q43" s="12"/>
      <c r="R43" s="7" t="s">
        <v>47</v>
      </c>
      <c r="S43" s="7" t="s">
        <v>147</v>
      </c>
      <c r="T43" s="7" t="s">
        <v>336</v>
      </c>
      <c r="U43" s="7" t="s">
        <v>504</v>
      </c>
      <c r="V43" s="7" t="s">
        <v>545</v>
      </c>
      <c r="W43" s="7" t="s">
        <v>544</v>
      </c>
      <c r="X43" s="18" t="s">
        <v>337</v>
      </c>
      <c r="Y43" s="19"/>
      <c r="Z43" s="12" t="s">
        <v>338</v>
      </c>
      <c r="AA43" s="12" t="s">
        <v>339</v>
      </c>
      <c r="AB43" s="12" t="s">
        <v>340</v>
      </c>
      <c r="AC43" s="14"/>
      <c r="AD43" s="14">
        <v>0</v>
      </c>
      <c r="AE43" s="14" t="s">
        <v>341</v>
      </c>
      <c r="AF43" s="14" t="b">
        <v>0</v>
      </c>
      <c r="AG43" s="14"/>
      <c r="AH43" s="14" t="s">
        <v>57</v>
      </c>
      <c r="AI43" s="14"/>
      <c r="AJ43" s="14" t="s">
        <v>154</v>
      </c>
      <c r="AK43" s="14">
        <v>3</v>
      </c>
      <c r="AL43" s="14" t="s">
        <v>342</v>
      </c>
      <c r="AM43" s="14" t="s">
        <v>60</v>
      </c>
      <c r="AN43" s="14">
        <v>0</v>
      </c>
      <c r="AO43" s="14" t="b">
        <v>0</v>
      </c>
      <c r="AP43" s="14">
        <v>3</v>
      </c>
      <c r="AQ43" s="14" t="b">
        <v>0</v>
      </c>
    </row>
    <row r="44" spans="1:43">
      <c r="A44" s="12">
        <v>38</v>
      </c>
      <c r="B44" s="12">
        <v>190</v>
      </c>
      <c r="C44" s="12" t="s">
        <v>724</v>
      </c>
      <c r="D44" s="12" t="s">
        <v>343</v>
      </c>
      <c r="E44" s="16">
        <v>44959</v>
      </c>
      <c r="F44" s="46">
        <v>45590</v>
      </c>
      <c r="G44" s="7" t="s">
        <v>471</v>
      </c>
      <c r="H44" s="7" t="s">
        <v>494</v>
      </c>
      <c r="I44" s="12" t="s">
        <v>45</v>
      </c>
      <c r="J44" s="12"/>
      <c r="K44" s="7"/>
      <c r="L44" s="7" t="s">
        <v>47</v>
      </c>
      <c r="M44" s="7" t="s">
        <v>92</v>
      </c>
      <c r="N44" s="7" t="s">
        <v>92</v>
      </c>
      <c r="O44" s="7" t="s">
        <v>113</v>
      </c>
      <c r="P44" s="17">
        <f>SUMIFS('2024'!J:J,'2024'!C:C,Sheet1!C44)</f>
        <v>1153320</v>
      </c>
      <c r="Q44" s="12"/>
      <c r="R44" s="7" t="s">
        <v>47</v>
      </c>
      <c r="S44" s="7" t="s">
        <v>147</v>
      </c>
      <c r="T44" s="7" t="s">
        <v>260</v>
      </c>
      <c r="U44" s="7" t="s">
        <v>537</v>
      </c>
      <c r="V44" s="7" t="s">
        <v>526</v>
      </c>
      <c r="W44" s="7"/>
      <c r="X44" s="18" t="s">
        <v>344</v>
      </c>
      <c r="Y44" s="19"/>
      <c r="Z44" s="12" t="s">
        <v>345</v>
      </c>
      <c r="AA44" s="12" t="s">
        <v>346</v>
      </c>
      <c r="AB44" s="12" t="s">
        <v>347</v>
      </c>
      <c r="AC44" s="14"/>
      <c r="AD44" s="14">
        <v>0</v>
      </c>
      <c r="AE44" s="14" t="s">
        <v>348</v>
      </c>
      <c r="AF44" s="14" t="b">
        <v>0</v>
      </c>
      <c r="AG44" s="14"/>
      <c r="AH44" s="14" t="s">
        <v>349</v>
      </c>
      <c r="AI44" s="14"/>
      <c r="AJ44" s="14" t="s">
        <v>350</v>
      </c>
      <c r="AK44" s="14">
        <v>3</v>
      </c>
      <c r="AL44" s="14" t="s">
        <v>351</v>
      </c>
      <c r="AM44" s="14" t="s">
        <v>98</v>
      </c>
      <c r="AN44" s="14">
        <v>0</v>
      </c>
      <c r="AO44" s="14" t="b">
        <v>0</v>
      </c>
      <c r="AP44" s="14">
        <v>3</v>
      </c>
      <c r="AQ44" s="14" t="b">
        <v>0</v>
      </c>
    </row>
    <row r="45" spans="1:43">
      <c r="A45" s="12">
        <v>39</v>
      </c>
      <c r="B45" s="12">
        <v>349</v>
      </c>
      <c r="C45" s="12" t="s">
        <v>726</v>
      </c>
      <c r="D45" s="12" t="s">
        <v>352</v>
      </c>
      <c r="E45" s="16">
        <v>44963</v>
      </c>
      <c r="F45" s="46">
        <v>45828</v>
      </c>
      <c r="G45" s="7" t="s">
        <v>471</v>
      </c>
      <c r="H45" s="7" t="s">
        <v>494</v>
      </c>
      <c r="I45" s="21" t="s">
        <v>68</v>
      </c>
      <c r="J45" s="21"/>
      <c r="K45" s="22"/>
      <c r="L45" s="7" t="s">
        <v>47</v>
      </c>
      <c r="M45" s="7" t="s">
        <v>92</v>
      </c>
      <c r="N45" s="7" t="s">
        <v>92</v>
      </c>
      <c r="O45" s="7" t="s">
        <v>113</v>
      </c>
      <c r="P45" s="17">
        <f>SUMIFS('2024'!J:J,'2024'!C:C,Sheet1!C45)</f>
        <v>1081000</v>
      </c>
      <c r="Q45" s="7" t="s">
        <v>146</v>
      </c>
      <c r="R45" s="7" t="s">
        <v>47</v>
      </c>
      <c r="S45" s="7" t="s">
        <v>50</v>
      </c>
      <c r="T45" s="7" t="s">
        <v>353</v>
      </c>
      <c r="U45" s="7" t="s">
        <v>504</v>
      </c>
      <c r="V45" s="7" t="s">
        <v>547</v>
      </c>
      <c r="W45" s="7" t="s">
        <v>546</v>
      </c>
      <c r="X45" s="18" t="s">
        <v>354</v>
      </c>
      <c r="Y45" s="19"/>
      <c r="Z45" s="12" t="s">
        <v>355</v>
      </c>
      <c r="AA45" s="12" t="s">
        <v>356</v>
      </c>
      <c r="AB45" s="12" t="s">
        <v>357</v>
      </c>
      <c r="AC45" s="14"/>
      <c r="AD45" s="14">
        <v>0</v>
      </c>
      <c r="AE45" s="14" t="s">
        <v>358</v>
      </c>
      <c r="AF45" s="14" t="b">
        <v>0</v>
      </c>
      <c r="AG45" s="14"/>
      <c r="AH45" s="14" t="s">
        <v>359</v>
      </c>
      <c r="AI45" s="14"/>
      <c r="AJ45" s="14" t="s">
        <v>360</v>
      </c>
      <c r="AK45" s="14">
        <v>3</v>
      </c>
      <c r="AL45" s="14" t="s">
        <v>361</v>
      </c>
      <c r="AM45" s="14" t="s">
        <v>98</v>
      </c>
      <c r="AN45" s="14">
        <v>0</v>
      </c>
      <c r="AO45" s="14" t="b">
        <v>0</v>
      </c>
      <c r="AP45" s="14">
        <v>3</v>
      </c>
      <c r="AQ45" s="14" t="b">
        <v>0</v>
      </c>
    </row>
    <row r="46" spans="1:43">
      <c r="A46" s="12">
        <v>34</v>
      </c>
      <c r="B46" s="12">
        <v>525</v>
      </c>
      <c r="C46" s="12" t="s">
        <v>728</v>
      </c>
      <c r="D46" s="12" t="s">
        <v>362</v>
      </c>
      <c r="E46" s="16">
        <v>44967</v>
      </c>
      <c r="F46" s="46">
        <v>45596</v>
      </c>
      <c r="G46" s="7" t="s">
        <v>471</v>
      </c>
      <c r="H46" s="7" t="s">
        <v>494</v>
      </c>
      <c r="I46" s="12" t="s">
        <v>45</v>
      </c>
      <c r="J46" s="12"/>
      <c r="K46" s="7"/>
      <c r="L46" s="7" t="s">
        <v>47</v>
      </c>
      <c r="M46" s="7" t="s">
        <v>92</v>
      </c>
      <c r="N46" s="7" t="s">
        <v>92</v>
      </c>
      <c r="O46" s="7" t="s">
        <v>113</v>
      </c>
      <c r="P46" s="17">
        <f>SUMIFS('2024'!J:J,'2024'!C:C,Sheet1!C46)</f>
        <v>0</v>
      </c>
      <c r="Q46" s="7" t="s">
        <v>93</v>
      </c>
      <c r="R46" s="7" t="s">
        <v>47</v>
      </c>
      <c r="S46" s="7" t="s">
        <v>147</v>
      </c>
      <c r="T46" s="7" t="s">
        <v>363</v>
      </c>
      <c r="U46" s="7" t="s">
        <v>537</v>
      </c>
      <c r="V46" s="7" t="s">
        <v>526</v>
      </c>
      <c r="W46" s="7"/>
      <c r="X46" s="18" t="s">
        <v>364</v>
      </c>
      <c r="Y46" s="19"/>
      <c r="Z46" s="12" t="s">
        <v>365</v>
      </c>
      <c r="AA46" s="12" t="s">
        <v>366</v>
      </c>
      <c r="AB46" s="12" t="s">
        <v>367</v>
      </c>
      <c r="AC46" s="14"/>
      <c r="AD46" s="14">
        <v>0</v>
      </c>
      <c r="AE46" s="14" t="s">
        <v>368</v>
      </c>
      <c r="AF46" s="14" t="b">
        <v>0</v>
      </c>
      <c r="AG46" s="14"/>
      <c r="AH46" s="14">
        <v>55</v>
      </c>
      <c r="AI46" s="14"/>
      <c r="AJ46" s="14" t="s">
        <v>369</v>
      </c>
      <c r="AK46" s="14">
        <v>3</v>
      </c>
      <c r="AL46" s="14" t="s">
        <v>370</v>
      </c>
      <c r="AM46" s="14" t="s">
        <v>60</v>
      </c>
      <c r="AN46" s="14">
        <v>0</v>
      </c>
      <c r="AO46" s="14" t="b">
        <v>0</v>
      </c>
      <c r="AP46" s="14">
        <v>3</v>
      </c>
      <c r="AQ46" s="14" t="b">
        <v>0</v>
      </c>
    </row>
    <row r="47" spans="1:43" hidden="1">
      <c r="A47" s="12">
        <v>35</v>
      </c>
      <c r="B47" s="12">
        <v>440</v>
      </c>
      <c r="C47" s="12" t="s">
        <v>371</v>
      </c>
      <c r="D47" s="12" t="s">
        <v>305</v>
      </c>
      <c r="E47" s="12"/>
      <c r="F47" s="47"/>
      <c r="G47" s="7" t="s">
        <v>471</v>
      </c>
      <c r="H47" s="7" t="s">
        <v>494</v>
      </c>
      <c r="I47" s="12" t="s">
        <v>45</v>
      </c>
      <c r="J47" s="12"/>
      <c r="K47" s="7"/>
      <c r="L47" s="7" t="s">
        <v>47</v>
      </c>
      <c r="M47" s="7" t="s">
        <v>92</v>
      </c>
      <c r="N47" s="7" t="s">
        <v>48</v>
      </c>
      <c r="O47" s="7" t="s">
        <v>113</v>
      </c>
      <c r="P47" s="17">
        <f>SUMIFS('2024'!J:J,'2024'!C:C,Sheet1!C47)</f>
        <v>0</v>
      </c>
      <c r="Q47" s="7" t="s">
        <v>93</v>
      </c>
      <c r="R47" s="7" t="s">
        <v>47</v>
      </c>
      <c r="S47" s="7" t="s">
        <v>50</v>
      </c>
      <c r="T47" s="7" t="s">
        <v>372</v>
      </c>
      <c r="U47" s="7"/>
      <c r="V47" s="7"/>
      <c r="W47" s="7"/>
      <c r="X47" s="18"/>
      <c r="Y47" s="19"/>
      <c r="Z47" s="12"/>
      <c r="AA47" s="12"/>
      <c r="AB47" s="12" t="s">
        <v>373</v>
      </c>
      <c r="AC47" s="14"/>
      <c r="AD47" s="14">
        <v>0</v>
      </c>
      <c r="AE47" s="14" t="s">
        <v>374</v>
      </c>
      <c r="AF47" s="14" t="b">
        <v>0</v>
      </c>
      <c r="AG47" s="14"/>
      <c r="AH47" s="14" t="s">
        <v>375</v>
      </c>
      <c r="AI47" s="14"/>
      <c r="AJ47" s="14" t="s">
        <v>376</v>
      </c>
      <c r="AK47" s="14">
        <v>3</v>
      </c>
      <c r="AL47" s="14" t="s">
        <v>377</v>
      </c>
      <c r="AM47" s="14" t="s">
        <v>60</v>
      </c>
      <c r="AN47" s="14">
        <v>0</v>
      </c>
      <c r="AO47" s="14" t="b">
        <v>0</v>
      </c>
      <c r="AP47" s="14">
        <v>3</v>
      </c>
      <c r="AQ47" s="14" t="b">
        <v>0</v>
      </c>
    </row>
    <row r="48" spans="1:43">
      <c r="A48" s="12">
        <v>35</v>
      </c>
      <c r="B48" s="12">
        <v>841</v>
      </c>
      <c r="C48" s="12" t="s">
        <v>730</v>
      </c>
      <c r="D48" s="12" t="s">
        <v>378</v>
      </c>
      <c r="E48" s="16">
        <v>44957</v>
      </c>
      <c r="F48" s="46">
        <v>45597</v>
      </c>
      <c r="G48" s="7" t="s">
        <v>471</v>
      </c>
      <c r="H48" s="7" t="s">
        <v>494</v>
      </c>
      <c r="I48" s="21" t="s">
        <v>68</v>
      </c>
      <c r="J48" s="21"/>
      <c r="K48" s="22"/>
      <c r="L48" s="7" t="s">
        <v>47</v>
      </c>
      <c r="M48" s="7" t="s">
        <v>92</v>
      </c>
      <c r="N48" s="7" t="s">
        <v>92</v>
      </c>
      <c r="O48" s="7" t="s">
        <v>113</v>
      </c>
      <c r="P48" s="17">
        <f>SUMIFS('2024'!J:J,'2024'!C:C,Sheet1!C48)</f>
        <v>106500</v>
      </c>
      <c r="Q48" s="12"/>
      <c r="R48" s="7" t="s">
        <v>47</v>
      </c>
      <c r="S48" s="7" t="s">
        <v>50</v>
      </c>
      <c r="T48" s="7" t="s">
        <v>379</v>
      </c>
      <c r="U48" s="7" t="s">
        <v>537</v>
      </c>
      <c r="V48" s="7" t="s">
        <v>549</v>
      </c>
      <c r="W48" s="43" t="s">
        <v>548</v>
      </c>
      <c r="X48" s="18" t="s">
        <v>380</v>
      </c>
      <c r="Y48" s="19"/>
      <c r="Z48" s="12" t="s">
        <v>381</v>
      </c>
      <c r="AA48" s="12" t="s">
        <v>382</v>
      </c>
      <c r="AB48" s="12" t="s">
        <v>383</v>
      </c>
      <c r="AC48" s="14"/>
      <c r="AD48" s="14">
        <v>0</v>
      </c>
      <c r="AE48" s="14" t="s">
        <v>384</v>
      </c>
      <c r="AF48" s="14" t="b">
        <v>0</v>
      </c>
      <c r="AG48" s="14"/>
      <c r="AH48" s="14" t="s">
        <v>385</v>
      </c>
      <c r="AI48" s="14"/>
      <c r="AJ48" s="14" t="s">
        <v>386</v>
      </c>
      <c r="AK48" s="14">
        <v>3</v>
      </c>
      <c r="AL48" s="14" t="s">
        <v>387</v>
      </c>
      <c r="AM48" s="14" t="s">
        <v>60</v>
      </c>
      <c r="AN48" s="14">
        <v>0</v>
      </c>
      <c r="AO48" s="14" t="b">
        <v>0</v>
      </c>
      <c r="AP48" s="14">
        <v>3</v>
      </c>
      <c r="AQ48" s="14" t="b">
        <v>0</v>
      </c>
    </row>
    <row r="49" spans="1:43">
      <c r="A49" s="12">
        <v>37</v>
      </c>
      <c r="B49" s="12">
        <v>336</v>
      </c>
      <c r="C49" s="12" t="s">
        <v>732</v>
      </c>
      <c r="D49" s="12" t="s">
        <v>388</v>
      </c>
      <c r="E49" s="16">
        <v>44951</v>
      </c>
      <c r="F49" s="46">
        <v>45604</v>
      </c>
      <c r="G49" s="7" t="s">
        <v>471</v>
      </c>
      <c r="H49" s="7" t="s">
        <v>494</v>
      </c>
      <c r="I49" s="12" t="s">
        <v>45</v>
      </c>
      <c r="J49" s="12"/>
      <c r="K49" s="7"/>
      <c r="L49" s="7" t="s">
        <v>47</v>
      </c>
      <c r="M49" s="7" t="s">
        <v>92</v>
      </c>
      <c r="N49" s="7" t="s">
        <v>48</v>
      </c>
      <c r="O49" s="7" t="s">
        <v>113</v>
      </c>
      <c r="P49" s="17">
        <f>SUMIFS('2024'!J:J,'2024'!C:C,Sheet1!C49)</f>
        <v>613300</v>
      </c>
      <c r="Q49" s="7" t="s">
        <v>93</v>
      </c>
      <c r="R49" s="7" t="s">
        <v>47</v>
      </c>
      <c r="S49" s="7" t="s">
        <v>50</v>
      </c>
      <c r="T49" s="7" t="s">
        <v>326</v>
      </c>
      <c r="U49" s="7" t="s">
        <v>537</v>
      </c>
      <c r="V49" s="7"/>
      <c r="W49" s="7"/>
      <c r="X49" s="18" t="s">
        <v>389</v>
      </c>
      <c r="Y49" s="19"/>
      <c r="Z49" s="12"/>
      <c r="AA49" s="12" t="s">
        <v>390</v>
      </c>
      <c r="AB49" s="12" t="s">
        <v>391</v>
      </c>
      <c r="AC49" s="14"/>
      <c r="AD49" s="14">
        <v>0</v>
      </c>
      <c r="AE49" s="14" t="s">
        <v>392</v>
      </c>
      <c r="AF49" s="14" t="b">
        <v>0</v>
      </c>
      <c r="AG49" s="14"/>
      <c r="AH49" s="14" t="s">
        <v>183</v>
      </c>
      <c r="AI49" s="14"/>
      <c r="AJ49" s="14" t="s">
        <v>215</v>
      </c>
      <c r="AK49" s="14">
        <v>3</v>
      </c>
      <c r="AL49" s="14" t="s">
        <v>393</v>
      </c>
      <c r="AM49" s="14" t="s">
        <v>98</v>
      </c>
      <c r="AN49" s="14">
        <v>0</v>
      </c>
      <c r="AO49" s="14" t="b">
        <v>0</v>
      </c>
      <c r="AP49" s="14">
        <v>3</v>
      </c>
      <c r="AQ49" s="14" t="b">
        <v>0</v>
      </c>
    </row>
    <row r="50" spans="1:43">
      <c r="A50" s="12">
        <v>38</v>
      </c>
      <c r="B50" s="12">
        <v>1076</v>
      </c>
      <c r="C50" s="12" t="s">
        <v>734</v>
      </c>
      <c r="D50" s="12" t="s">
        <v>394</v>
      </c>
      <c r="E50" s="16">
        <v>44973</v>
      </c>
      <c r="F50" s="46">
        <v>45616</v>
      </c>
      <c r="G50" s="7" t="s">
        <v>471</v>
      </c>
      <c r="H50" s="7" t="s">
        <v>494</v>
      </c>
      <c r="I50" s="21" t="s">
        <v>68</v>
      </c>
      <c r="J50" s="21"/>
      <c r="K50" s="22"/>
      <c r="L50" s="7" t="s">
        <v>47</v>
      </c>
      <c r="M50" s="7" t="s">
        <v>92</v>
      </c>
      <c r="N50" s="7" t="s">
        <v>92</v>
      </c>
      <c r="O50" s="7" t="s">
        <v>113</v>
      </c>
      <c r="P50" s="17">
        <f>SUMIFS('2024'!J:J,'2024'!C:C,Sheet1!C50)</f>
        <v>447720</v>
      </c>
      <c r="Q50" s="12"/>
      <c r="R50" s="7" t="s">
        <v>47</v>
      </c>
      <c r="S50" s="7" t="s">
        <v>50</v>
      </c>
      <c r="T50" s="7" t="s">
        <v>395</v>
      </c>
      <c r="U50" s="7" t="s">
        <v>537</v>
      </c>
      <c r="V50" s="7"/>
      <c r="W50" s="7"/>
      <c r="X50" s="18" t="s">
        <v>396</v>
      </c>
      <c r="Y50" s="19" t="s">
        <v>397</v>
      </c>
      <c r="Z50" s="12" t="s">
        <v>398</v>
      </c>
      <c r="AA50" s="12" t="s">
        <v>399</v>
      </c>
      <c r="AB50" s="12" t="s">
        <v>400</v>
      </c>
      <c r="AC50" s="14"/>
      <c r="AD50" s="14">
        <v>0</v>
      </c>
      <c r="AE50" s="14" t="s">
        <v>401</v>
      </c>
      <c r="AF50" s="14" t="b">
        <v>0</v>
      </c>
      <c r="AG50" s="14"/>
      <c r="AH50" s="14"/>
      <c r="AI50" s="14"/>
      <c r="AJ50" s="14"/>
      <c r="AK50" s="14">
        <v>1</v>
      </c>
      <c r="AL50" s="14"/>
      <c r="AM50" s="14" t="s">
        <v>98</v>
      </c>
      <c r="AN50" s="14">
        <v>0</v>
      </c>
      <c r="AO50" s="14" t="b">
        <v>0</v>
      </c>
      <c r="AP50" s="14">
        <v>3</v>
      </c>
      <c r="AQ50" s="14" t="b">
        <v>0</v>
      </c>
    </row>
    <row r="51" spans="1:43">
      <c r="A51" s="12">
        <v>41</v>
      </c>
      <c r="B51" s="12">
        <v>136</v>
      </c>
      <c r="C51" s="12" t="s">
        <v>736</v>
      </c>
      <c r="D51" s="12" t="s">
        <v>122</v>
      </c>
      <c r="E51" s="16">
        <v>45008</v>
      </c>
      <c r="F51" s="46">
        <v>45618</v>
      </c>
      <c r="G51" s="7" t="s">
        <v>471</v>
      </c>
      <c r="H51" s="7" t="s">
        <v>494</v>
      </c>
      <c r="I51" s="21" t="s">
        <v>68</v>
      </c>
      <c r="J51" s="21"/>
      <c r="K51" s="22"/>
      <c r="L51" s="7" t="s">
        <v>47</v>
      </c>
      <c r="M51" s="7" t="s">
        <v>92</v>
      </c>
      <c r="N51" s="7" t="s">
        <v>92</v>
      </c>
      <c r="O51" s="7" t="s">
        <v>113</v>
      </c>
      <c r="P51" s="17">
        <f>SUMIFS('2024'!J:J,'2024'!C:C,Sheet1!C51)</f>
        <v>0</v>
      </c>
      <c r="Q51" s="12"/>
      <c r="R51" s="7" t="s">
        <v>47</v>
      </c>
      <c r="S51" s="7" t="s">
        <v>147</v>
      </c>
      <c r="T51" s="7" t="s">
        <v>402</v>
      </c>
      <c r="U51" s="7" t="s">
        <v>537</v>
      </c>
      <c r="V51" s="7"/>
      <c r="W51" s="7"/>
      <c r="X51" s="18" t="s">
        <v>403</v>
      </c>
      <c r="Y51" s="19"/>
      <c r="Z51" s="12" t="s">
        <v>404</v>
      </c>
      <c r="AA51" s="12" t="s">
        <v>405</v>
      </c>
      <c r="AB51" s="12" t="s">
        <v>406</v>
      </c>
      <c r="AC51" s="14"/>
      <c r="AD51" s="14">
        <v>0</v>
      </c>
      <c r="AE51" s="14" t="s">
        <v>407</v>
      </c>
      <c r="AF51" s="14" t="b">
        <v>0</v>
      </c>
      <c r="AG51" s="14"/>
      <c r="AH51" s="14" t="s">
        <v>183</v>
      </c>
      <c r="AI51" s="14"/>
      <c r="AJ51" s="14" t="s">
        <v>408</v>
      </c>
      <c r="AK51" s="14">
        <v>3</v>
      </c>
      <c r="AL51" s="14" t="s">
        <v>409</v>
      </c>
      <c r="AM51" s="14" t="s">
        <v>98</v>
      </c>
      <c r="AN51" s="14">
        <v>0</v>
      </c>
      <c r="AO51" s="14" t="b">
        <v>0</v>
      </c>
      <c r="AP51" s="14">
        <v>3</v>
      </c>
      <c r="AQ51" s="14" t="b">
        <v>0</v>
      </c>
    </row>
    <row r="52" spans="1:43">
      <c r="A52" s="12">
        <v>42</v>
      </c>
      <c r="B52" s="12">
        <v>725</v>
      </c>
      <c r="C52" s="12" t="s">
        <v>738</v>
      </c>
      <c r="D52" s="12" t="s">
        <v>410</v>
      </c>
      <c r="E52" s="16">
        <v>44951</v>
      </c>
      <c r="F52" s="46">
        <v>45623</v>
      </c>
      <c r="G52" s="7" t="s">
        <v>471</v>
      </c>
      <c r="H52" s="7" t="s">
        <v>494</v>
      </c>
      <c r="I52" s="12" t="s">
        <v>45</v>
      </c>
      <c r="J52" s="12"/>
      <c r="K52" s="7"/>
      <c r="L52" s="7" t="s">
        <v>47</v>
      </c>
      <c r="M52" s="7" t="s">
        <v>92</v>
      </c>
      <c r="N52" s="7" t="s">
        <v>92</v>
      </c>
      <c r="O52" s="7" t="s">
        <v>113</v>
      </c>
      <c r="P52" s="17">
        <f>SUMIFS('2024'!J:J,'2024'!C:C,Sheet1!C52)</f>
        <v>69000</v>
      </c>
      <c r="Q52" s="7" t="s">
        <v>93</v>
      </c>
      <c r="R52" s="7" t="s">
        <v>47</v>
      </c>
      <c r="S52" s="7" t="s">
        <v>50</v>
      </c>
      <c r="T52" s="7" t="s">
        <v>411</v>
      </c>
      <c r="U52" s="7" t="s">
        <v>537</v>
      </c>
      <c r="V52" s="7"/>
      <c r="W52" s="7"/>
      <c r="X52" s="18" t="s">
        <v>790</v>
      </c>
      <c r="Y52" s="19"/>
      <c r="Z52" s="12" t="s">
        <v>791</v>
      </c>
      <c r="AA52" s="12" t="s">
        <v>792</v>
      </c>
      <c r="AB52" s="12" t="s">
        <v>793</v>
      </c>
      <c r="AC52" s="14"/>
      <c r="AD52" s="14">
        <v>0</v>
      </c>
      <c r="AE52" s="14" t="s">
        <v>412</v>
      </c>
      <c r="AF52" s="14" t="b">
        <v>0</v>
      </c>
      <c r="AG52" s="14"/>
      <c r="AH52" s="14" t="s">
        <v>57</v>
      </c>
      <c r="AI52" s="14"/>
      <c r="AJ52" s="14" t="s">
        <v>413</v>
      </c>
      <c r="AK52" s="14">
        <v>3</v>
      </c>
      <c r="AL52" s="14" t="s">
        <v>414</v>
      </c>
      <c r="AM52" s="14" t="s">
        <v>207</v>
      </c>
      <c r="AN52" s="14">
        <v>0</v>
      </c>
      <c r="AO52" s="14" t="b">
        <v>0</v>
      </c>
      <c r="AP52" s="14">
        <v>3</v>
      </c>
      <c r="AQ52" s="14" t="b">
        <v>0</v>
      </c>
    </row>
    <row r="53" spans="1:43">
      <c r="A53" s="12">
        <v>43</v>
      </c>
      <c r="B53" s="12">
        <v>779</v>
      </c>
      <c r="C53" s="12" t="s">
        <v>561</v>
      </c>
      <c r="D53" s="12" t="s">
        <v>415</v>
      </c>
      <c r="E53" s="16">
        <v>45013</v>
      </c>
      <c r="F53" s="46">
        <v>45793</v>
      </c>
      <c r="G53" s="7" t="s">
        <v>471</v>
      </c>
      <c r="H53" s="7" t="s">
        <v>494</v>
      </c>
      <c r="I53" s="12" t="s">
        <v>45</v>
      </c>
      <c r="J53" s="12"/>
      <c r="K53" s="7"/>
      <c r="L53" s="7" t="s">
        <v>47</v>
      </c>
      <c r="M53" s="7" t="s">
        <v>92</v>
      </c>
      <c r="N53" s="7" t="s">
        <v>92</v>
      </c>
      <c r="O53" s="7" t="s">
        <v>113</v>
      </c>
      <c r="P53" s="17">
        <f>SUMIFS('2024'!J:J,'2024'!C:C,Sheet1!C53)</f>
        <v>58000</v>
      </c>
      <c r="Q53" s="7" t="s">
        <v>168</v>
      </c>
      <c r="R53" s="7" t="s">
        <v>47</v>
      </c>
      <c r="S53" s="7" t="s">
        <v>50</v>
      </c>
      <c r="T53" s="7" t="s">
        <v>416</v>
      </c>
      <c r="U53" s="7" t="s">
        <v>537</v>
      </c>
      <c r="V53" s="7"/>
      <c r="W53" s="7"/>
      <c r="X53" s="18" t="s">
        <v>787</v>
      </c>
      <c r="Y53" s="19" t="s">
        <v>788</v>
      </c>
      <c r="Z53" s="12" t="s">
        <v>789</v>
      </c>
      <c r="AA53" s="12" t="s">
        <v>562</v>
      </c>
      <c r="AB53" s="12" t="s">
        <v>563</v>
      </c>
      <c r="AC53" s="14"/>
      <c r="AD53" s="14">
        <v>0</v>
      </c>
      <c r="AE53" s="14" t="s">
        <v>417</v>
      </c>
      <c r="AF53" s="14" t="b">
        <v>0</v>
      </c>
      <c r="AG53" s="14"/>
      <c r="AH53" s="14"/>
      <c r="AI53" s="14"/>
      <c r="AJ53" s="14"/>
      <c r="AK53" s="14">
        <v>1</v>
      </c>
      <c r="AL53" s="14"/>
      <c r="AM53" s="14" t="s">
        <v>98</v>
      </c>
      <c r="AN53" s="14">
        <v>0</v>
      </c>
      <c r="AO53" s="14" t="b">
        <v>0</v>
      </c>
      <c r="AP53" s="14">
        <v>3</v>
      </c>
      <c r="AQ53" s="14" t="b">
        <v>0</v>
      </c>
    </row>
    <row r="54" spans="1:43">
      <c r="A54" s="12">
        <v>44</v>
      </c>
      <c r="B54" s="12">
        <v>536</v>
      </c>
      <c r="C54" s="12" t="s">
        <v>741</v>
      </c>
      <c r="D54" s="33" t="s">
        <v>418</v>
      </c>
      <c r="E54" s="38">
        <v>44942</v>
      </c>
      <c r="F54" s="46">
        <v>45625</v>
      </c>
      <c r="G54" s="7" t="s">
        <v>471</v>
      </c>
      <c r="H54" s="7" t="s">
        <v>494</v>
      </c>
      <c r="I54" s="34" t="s">
        <v>45</v>
      </c>
      <c r="J54" s="34"/>
      <c r="K54" s="35"/>
      <c r="L54" s="7" t="s">
        <v>47</v>
      </c>
      <c r="M54" s="7" t="s">
        <v>419</v>
      </c>
      <c r="N54" s="7" t="s">
        <v>48</v>
      </c>
      <c r="O54" s="7" t="s">
        <v>113</v>
      </c>
      <c r="P54" s="17">
        <f>SUMIFS('2024'!J:J,'2024'!C:C,Sheet1!C54)</f>
        <v>0</v>
      </c>
      <c r="Q54" s="35" t="s">
        <v>168</v>
      </c>
      <c r="R54" s="7" t="s">
        <v>47</v>
      </c>
      <c r="S54" s="7" t="s">
        <v>50</v>
      </c>
      <c r="T54" s="7" t="s">
        <v>51</v>
      </c>
      <c r="U54" s="7" t="s">
        <v>497</v>
      </c>
      <c r="V54" s="7" t="s">
        <v>550</v>
      </c>
      <c r="W54" s="43" t="s">
        <v>551</v>
      </c>
      <c r="X54" s="18"/>
      <c r="Y54" s="19"/>
      <c r="Z54" s="12"/>
      <c r="AA54" s="12"/>
      <c r="AB54" s="12"/>
      <c r="AC54" s="14"/>
      <c r="AD54" s="14">
        <v>0</v>
      </c>
      <c r="AE54" s="14" t="s">
        <v>420</v>
      </c>
      <c r="AF54" s="14" t="b">
        <v>0</v>
      </c>
      <c r="AG54" s="14"/>
      <c r="AH54" s="14" t="s">
        <v>183</v>
      </c>
      <c r="AI54" s="14"/>
      <c r="AJ54" s="14" t="s">
        <v>421</v>
      </c>
      <c r="AK54" s="14">
        <v>3</v>
      </c>
      <c r="AL54" s="14" t="s">
        <v>422</v>
      </c>
      <c r="AM54" s="14" t="s">
        <v>60</v>
      </c>
      <c r="AN54" s="14">
        <v>0</v>
      </c>
      <c r="AO54" s="14" t="b">
        <v>0</v>
      </c>
      <c r="AP54" s="14">
        <v>3</v>
      </c>
      <c r="AQ54" s="14" t="b">
        <v>0</v>
      </c>
    </row>
    <row r="55" spans="1:43">
      <c r="A55" s="12">
        <v>45</v>
      </c>
      <c r="B55" s="12">
        <v>475</v>
      </c>
      <c r="C55" s="12" t="s">
        <v>743</v>
      </c>
      <c r="D55" s="12" t="s">
        <v>423</v>
      </c>
      <c r="E55" s="16">
        <v>44938</v>
      </c>
      <c r="F55" s="47"/>
      <c r="G55" s="7" t="s">
        <v>471</v>
      </c>
      <c r="H55" s="7" t="s">
        <v>494</v>
      </c>
      <c r="I55" s="21" t="s">
        <v>68</v>
      </c>
      <c r="J55" s="21"/>
      <c r="K55" s="22"/>
      <c r="L55" s="7" t="s">
        <v>47</v>
      </c>
      <c r="M55" s="7" t="s">
        <v>92</v>
      </c>
      <c r="N55" s="7" t="s">
        <v>92</v>
      </c>
      <c r="O55" s="7" t="s">
        <v>113</v>
      </c>
      <c r="P55" s="17">
        <f>SUMIFS('2024'!J:J,'2024'!C:C,Sheet1!C55)</f>
        <v>0</v>
      </c>
      <c r="Q55" s="7" t="s">
        <v>123</v>
      </c>
      <c r="R55" s="7" t="s">
        <v>47</v>
      </c>
      <c r="S55" s="7" t="s">
        <v>147</v>
      </c>
      <c r="T55" s="7" t="s">
        <v>260</v>
      </c>
      <c r="U55" s="7" t="s">
        <v>537</v>
      </c>
      <c r="V55" s="7"/>
      <c r="W55" s="7"/>
      <c r="X55" s="18"/>
      <c r="Y55" s="19"/>
      <c r="Z55" s="12"/>
      <c r="AA55" s="12" t="s">
        <v>564</v>
      </c>
      <c r="AB55" s="12" t="s">
        <v>565</v>
      </c>
      <c r="AC55" s="14"/>
      <c r="AD55" s="14">
        <v>0</v>
      </c>
      <c r="AE55" s="14" t="s">
        <v>424</v>
      </c>
      <c r="AF55" s="14" t="b">
        <v>0</v>
      </c>
      <c r="AG55" s="14"/>
      <c r="AH55" s="14" t="s">
        <v>425</v>
      </c>
      <c r="AI55" s="14"/>
      <c r="AJ55" s="14" t="s">
        <v>426</v>
      </c>
      <c r="AK55" s="14">
        <v>3</v>
      </c>
      <c r="AL55" s="14" t="s">
        <v>427</v>
      </c>
      <c r="AM55" s="14" t="s">
        <v>60</v>
      </c>
      <c r="AN55" s="14">
        <v>0</v>
      </c>
      <c r="AO55" s="14" t="b">
        <v>0</v>
      </c>
      <c r="AP55" s="14">
        <v>3</v>
      </c>
      <c r="AQ55" s="14" t="b">
        <v>0</v>
      </c>
    </row>
    <row r="56" spans="1:43">
      <c r="A56" s="12">
        <v>46</v>
      </c>
      <c r="B56" s="12">
        <v>450</v>
      </c>
      <c r="C56" s="12" t="s">
        <v>566</v>
      </c>
      <c r="D56" s="12" t="s">
        <v>428</v>
      </c>
      <c r="E56" s="16">
        <v>44998</v>
      </c>
      <c r="F56" s="46">
        <v>45800</v>
      </c>
      <c r="G56" s="7" t="s">
        <v>471</v>
      </c>
      <c r="H56" s="7" t="s">
        <v>494</v>
      </c>
      <c r="I56" s="12" t="s">
        <v>45</v>
      </c>
      <c r="J56" s="12"/>
      <c r="K56" s="7"/>
      <c r="L56" s="7" t="s">
        <v>47</v>
      </c>
      <c r="M56" s="7" t="s">
        <v>92</v>
      </c>
      <c r="N56" s="7" t="s">
        <v>92</v>
      </c>
      <c r="O56" s="7" t="s">
        <v>113</v>
      </c>
      <c r="P56" s="17">
        <f>SUMIFS('2024'!J:J,'2024'!C:C,Sheet1!C56)</f>
        <v>628300</v>
      </c>
      <c r="Q56" s="7" t="s">
        <v>93</v>
      </c>
      <c r="R56" s="7" t="s">
        <v>47</v>
      </c>
      <c r="S56" s="7" t="s">
        <v>50</v>
      </c>
      <c r="T56" s="7" t="s">
        <v>429</v>
      </c>
      <c r="U56" s="7" t="s">
        <v>537</v>
      </c>
      <c r="V56" s="7"/>
      <c r="W56" s="7"/>
      <c r="X56" s="18" t="s">
        <v>784</v>
      </c>
      <c r="Y56" s="19"/>
      <c r="Z56" s="12" t="s">
        <v>785</v>
      </c>
      <c r="AA56" s="12" t="s">
        <v>786</v>
      </c>
      <c r="AB56" s="12" t="s">
        <v>567</v>
      </c>
      <c r="AC56" s="14"/>
      <c r="AD56" s="14">
        <v>0</v>
      </c>
      <c r="AE56" s="14" t="s">
        <v>430</v>
      </c>
      <c r="AF56" s="14" t="b">
        <v>0</v>
      </c>
      <c r="AG56" s="14"/>
      <c r="AH56" s="14" t="s">
        <v>183</v>
      </c>
      <c r="AI56" s="14"/>
      <c r="AJ56" s="14" t="s">
        <v>431</v>
      </c>
      <c r="AK56" s="14">
        <v>3</v>
      </c>
      <c r="AL56" s="14" t="s">
        <v>432</v>
      </c>
      <c r="AM56" s="14" t="s">
        <v>60</v>
      </c>
      <c r="AN56" s="14">
        <v>0</v>
      </c>
      <c r="AO56" s="14" t="b">
        <v>0</v>
      </c>
      <c r="AP56" s="14">
        <v>3</v>
      </c>
      <c r="AQ56" s="14" t="b">
        <v>0</v>
      </c>
    </row>
    <row r="57" spans="1:43">
      <c r="A57" s="12">
        <v>47</v>
      </c>
      <c r="B57" s="12">
        <v>526</v>
      </c>
      <c r="C57" s="12" t="s">
        <v>746</v>
      </c>
      <c r="D57" s="12" t="s">
        <v>433</v>
      </c>
      <c r="E57" s="16">
        <v>44894</v>
      </c>
      <c r="F57" s="47"/>
      <c r="G57" s="7" t="s">
        <v>471</v>
      </c>
      <c r="H57" s="7" t="s">
        <v>494</v>
      </c>
      <c r="I57" s="21" t="s">
        <v>68</v>
      </c>
      <c r="J57" s="21"/>
      <c r="K57" s="21"/>
      <c r="L57" s="7" t="s">
        <v>92</v>
      </c>
      <c r="M57" s="7" t="s">
        <v>92</v>
      </c>
      <c r="N57" s="7" t="s">
        <v>92</v>
      </c>
      <c r="O57" s="7" t="s">
        <v>113</v>
      </c>
      <c r="P57" s="17">
        <f>SUMIFS('2024'!J:J,'2024'!C:C,Sheet1!C57)</f>
        <v>52800</v>
      </c>
      <c r="Q57" s="30" t="s">
        <v>123</v>
      </c>
      <c r="R57" s="7" t="s">
        <v>47</v>
      </c>
      <c r="S57" s="7" t="s">
        <v>50</v>
      </c>
      <c r="T57" s="7" t="s">
        <v>434</v>
      </c>
      <c r="U57" s="7" t="s">
        <v>537</v>
      </c>
      <c r="V57" s="7"/>
      <c r="W57" s="7"/>
      <c r="X57" s="18" t="s">
        <v>782</v>
      </c>
      <c r="Y57" s="19"/>
      <c r="Z57" s="12" t="s">
        <v>783</v>
      </c>
      <c r="AA57" s="12" t="s">
        <v>435</v>
      </c>
      <c r="AB57" s="12" t="s">
        <v>436</v>
      </c>
      <c r="AC57" s="14"/>
      <c r="AD57" s="14">
        <v>0</v>
      </c>
      <c r="AE57" s="14" t="s">
        <v>437</v>
      </c>
      <c r="AF57" s="14" t="b">
        <v>0</v>
      </c>
      <c r="AG57" s="14"/>
      <c r="AH57" s="14" t="s">
        <v>375</v>
      </c>
      <c r="AI57" s="14"/>
      <c r="AJ57" s="14" t="s">
        <v>438</v>
      </c>
      <c r="AK57" s="14">
        <v>3</v>
      </c>
      <c r="AL57" s="14" t="s">
        <v>439</v>
      </c>
      <c r="AM57" s="14" t="s">
        <v>98</v>
      </c>
      <c r="AN57" s="14">
        <v>0</v>
      </c>
      <c r="AO57" s="14" t="b">
        <v>0</v>
      </c>
      <c r="AP57" s="14">
        <v>3</v>
      </c>
      <c r="AQ57" s="14" t="b">
        <v>0</v>
      </c>
    </row>
    <row r="58" spans="1:43">
      <c r="A58" s="12">
        <v>48</v>
      </c>
      <c r="B58" s="12">
        <v>159</v>
      </c>
      <c r="C58" s="12" t="s">
        <v>747</v>
      </c>
      <c r="D58" s="15" t="s">
        <v>440</v>
      </c>
      <c r="E58" s="37">
        <v>44998</v>
      </c>
      <c r="F58" s="46">
        <v>45794</v>
      </c>
      <c r="G58" s="7" t="s">
        <v>471</v>
      </c>
      <c r="H58" s="7" t="s">
        <v>494</v>
      </c>
      <c r="I58" s="12" t="s">
        <v>45</v>
      </c>
      <c r="J58" s="12"/>
      <c r="K58" s="7"/>
      <c r="L58" s="7" t="s">
        <v>47</v>
      </c>
      <c r="M58" s="7" t="s">
        <v>92</v>
      </c>
      <c r="N58" s="7" t="s">
        <v>92</v>
      </c>
      <c r="O58" s="7" t="s">
        <v>113</v>
      </c>
      <c r="P58" s="17">
        <f>SUMIFS('2024'!J:J,'2024'!C:C,Sheet1!C58)</f>
        <v>0</v>
      </c>
      <c r="Q58" s="7" t="s">
        <v>168</v>
      </c>
      <c r="R58" s="7" t="s">
        <v>47</v>
      </c>
      <c r="S58" s="7" t="s">
        <v>50</v>
      </c>
      <c r="T58" s="7" t="s">
        <v>260</v>
      </c>
      <c r="U58" s="7" t="s">
        <v>537</v>
      </c>
      <c r="V58" s="7"/>
      <c r="W58" s="7"/>
      <c r="X58" s="18" t="s">
        <v>441</v>
      </c>
      <c r="Y58" s="19" t="s">
        <v>442</v>
      </c>
      <c r="Z58" s="12" t="s">
        <v>443</v>
      </c>
      <c r="AA58" s="15" t="s">
        <v>444</v>
      </c>
      <c r="AB58" s="15" t="s">
        <v>445</v>
      </c>
      <c r="AC58" s="14"/>
      <c r="AD58" s="14">
        <v>0</v>
      </c>
      <c r="AE58" s="14" t="s">
        <v>446</v>
      </c>
      <c r="AF58" s="14" t="b">
        <v>0</v>
      </c>
      <c r="AG58" s="14"/>
      <c r="AH58" s="14" t="s">
        <v>333</v>
      </c>
      <c r="AI58" s="14"/>
      <c r="AJ58" s="14" t="s">
        <v>447</v>
      </c>
      <c r="AK58" s="14">
        <v>3</v>
      </c>
      <c r="AL58" s="14" t="s">
        <v>448</v>
      </c>
      <c r="AM58" s="14" t="s">
        <v>98</v>
      </c>
      <c r="AN58" s="14">
        <v>0</v>
      </c>
      <c r="AO58" s="14" t="b">
        <v>0</v>
      </c>
      <c r="AP58" s="14">
        <v>1</v>
      </c>
      <c r="AQ58" s="14" t="b">
        <v>0</v>
      </c>
    </row>
    <row r="59" spans="1:43">
      <c r="A59" s="12">
        <v>49</v>
      </c>
      <c r="B59" s="12">
        <v>234</v>
      </c>
      <c r="C59" s="12" t="s">
        <v>749</v>
      </c>
      <c r="D59" s="15" t="s">
        <v>449</v>
      </c>
      <c r="E59" s="37">
        <v>44967</v>
      </c>
      <c r="F59" s="46">
        <v>45777</v>
      </c>
      <c r="G59" s="7" t="s">
        <v>471</v>
      </c>
      <c r="H59" s="7" t="s">
        <v>494</v>
      </c>
      <c r="I59" s="21" t="s">
        <v>68</v>
      </c>
      <c r="J59" s="21"/>
      <c r="K59" s="22"/>
      <c r="L59" s="7" t="s">
        <v>47</v>
      </c>
      <c r="M59" s="7" t="s">
        <v>92</v>
      </c>
      <c r="N59" s="7" t="s">
        <v>92</v>
      </c>
      <c r="O59" s="7" t="s">
        <v>113</v>
      </c>
      <c r="P59" s="17">
        <f>SUMIFS('2024'!J:J,'2024'!C:C,Sheet1!C59)</f>
        <v>0</v>
      </c>
      <c r="Q59" s="12"/>
      <c r="R59" s="7" t="s">
        <v>47</v>
      </c>
      <c r="S59" s="7" t="s">
        <v>50</v>
      </c>
      <c r="T59" s="7" t="s">
        <v>260</v>
      </c>
      <c r="U59" s="7" t="s">
        <v>537</v>
      </c>
      <c r="V59" s="7"/>
      <c r="W59" s="7"/>
      <c r="X59" s="18" t="s">
        <v>450</v>
      </c>
      <c r="Y59" s="19"/>
      <c r="Z59" s="12"/>
      <c r="AA59" s="15" t="s">
        <v>451</v>
      </c>
      <c r="AB59" s="15" t="s">
        <v>452</v>
      </c>
      <c r="AC59" s="14"/>
      <c r="AD59" s="14">
        <v>0</v>
      </c>
      <c r="AE59" s="14" t="s">
        <v>453</v>
      </c>
      <c r="AF59" s="14" t="b">
        <v>0</v>
      </c>
      <c r="AG59" s="14"/>
      <c r="AH59" s="14" t="s">
        <v>183</v>
      </c>
      <c r="AI59" s="14"/>
      <c r="AJ59" s="14" t="s">
        <v>454</v>
      </c>
      <c r="AK59" s="14">
        <v>3</v>
      </c>
      <c r="AL59" s="14" t="s">
        <v>455</v>
      </c>
      <c r="AM59" s="14" t="s">
        <v>60</v>
      </c>
      <c r="AN59" s="14">
        <v>0</v>
      </c>
      <c r="AO59" s="14" t="b">
        <v>0</v>
      </c>
      <c r="AP59" s="14">
        <v>3</v>
      </c>
      <c r="AQ59" s="14" t="b">
        <v>0</v>
      </c>
    </row>
    <row r="60" spans="1:43">
      <c r="A60" s="12">
        <v>50</v>
      </c>
      <c r="B60" s="12">
        <v>59</v>
      </c>
      <c r="C60" s="12" t="s">
        <v>750</v>
      </c>
      <c r="D60" s="12" t="s">
        <v>456</v>
      </c>
      <c r="E60" s="16">
        <v>44967</v>
      </c>
      <c r="F60" s="47"/>
      <c r="G60" s="7" t="s">
        <v>471</v>
      </c>
      <c r="H60" s="7" t="s">
        <v>494</v>
      </c>
      <c r="I60" s="21" t="s">
        <v>68</v>
      </c>
      <c r="J60" s="21"/>
      <c r="K60" s="22"/>
      <c r="L60" s="7" t="s">
        <v>47</v>
      </c>
      <c r="M60" s="7" t="s">
        <v>92</v>
      </c>
      <c r="N60" s="7" t="s">
        <v>92</v>
      </c>
      <c r="O60" s="7" t="s">
        <v>113</v>
      </c>
      <c r="P60" s="17">
        <f>SUMIFS('2024'!J:J,'2024'!C:C,Sheet1!C60)</f>
        <v>0</v>
      </c>
      <c r="Q60" s="12"/>
      <c r="R60" s="7" t="s">
        <v>47</v>
      </c>
      <c r="S60" s="7" t="s">
        <v>50</v>
      </c>
      <c r="T60" s="7" t="s">
        <v>456</v>
      </c>
      <c r="U60" s="7" t="s">
        <v>537</v>
      </c>
      <c r="V60" s="7"/>
      <c r="W60" s="7"/>
      <c r="X60" s="18" t="s">
        <v>457</v>
      </c>
      <c r="Y60" s="19"/>
      <c r="Z60" s="12"/>
      <c r="AA60" s="12" t="s">
        <v>458</v>
      </c>
      <c r="AB60" s="12" t="s">
        <v>459</v>
      </c>
      <c r="AC60" s="14"/>
      <c r="AD60" s="14">
        <v>0</v>
      </c>
      <c r="AE60" s="14" t="s">
        <v>460</v>
      </c>
      <c r="AF60" s="14" t="b">
        <v>0</v>
      </c>
      <c r="AG60" s="14"/>
      <c r="AH60" s="14"/>
      <c r="AI60" s="14"/>
      <c r="AJ60" s="14"/>
      <c r="AK60" s="14">
        <v>1</v>
      </c>
      <c r="AL60" s="14"/>
      <c r="AM60" s="14" t="s">
        <v>207</v>
      </c>
      <c r="AN60" s="14">
        <v>0</v>
      </c>
      <c r="AO60" s="14" t="b">
        <v>0</v>
      </c>
      <c r="AP60" s="14">
        <v>1</v>
      </c>
      <c r="AQ60" s="14" t="b">
        <v>0</v>
      </c>
    </row>
    <row r="61" spans="1:43">
      <c r="A61" s="12">
        <v>51</v>
      </c>
      <c r="B61" s="25">
        <v>764</v>
      </c>
      <c r="C61" s="25" t="s">
        <v>762</v>
      </c>
      <c r="D61" s="12" t="s">
        <v>461</v>
      </c>
      <c r="E61" s="16">
        <v>44958</v>
      </c>
      <c r="F61" s="46">
        <v>45450</v>
      </c>
      <c r="G61" s="7" t="s">
        <v>471</v>
      </c>
      <c r="H61" s="7" t="s">
        <v>494</v>
      </c>
      <c r="I61" s="31" t="s">
        <v>462</v>
      </c>
      <c r="J61" s="31"/>
      <c r="K61" s="32"/>
      <c r="L61" s="7" t="s">
        <v>47</v>
      </c>
      <c r="M61" s="7" t="s">
        <v>47</v>
      </c>
      <c r="N61" s="7" t="s">
        <v>48</v>
      </c>
      <c r="O61" s="7" t="s">
        <v>113</v>
      </c>
      <c r="P61" s="17">
        <f>SUMIFS('2024'!J:J,'2024'!C:C,Sheet1!C61)</f>
        <v>0</v>
      </c>
      <c r="Q61" s="80"/>
      <c r="R61" s="7" t="s">
        <v>47</v>
      </c>
      <c r="S61" s="7" t="s">
        <v>463</v>
      </c>
      <c r="T61" s="7" t="s">
        <v>464</v>
      </c>
      <c r="U61" s="7" t="s">
        <v>497</v>
      </c>
      <c r="V61" s="7"/>
      <c r="W61" s="7"/>
      <c r="X61" s="12"/>
      <c r="Y61" s="12"/>
      <c r="Z61" s="12"/>
      <c r="AA61" s="12"/>
      <c r="AB61" s="12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>
      <c r="A62" s="12">
        <v>52</v>
      </c>
      <c r="B62" s="25">
        <v>874</v>
      </c>
      <c r="C62" s="25" t="s">
        <v>465</v>
      </c>
      <c r="D62" s="12" t="s">
        <v>763</v>
      </c>
      <c r="E62" s="16">
        <v>44988</v>
      </c>
      <c r="F62" s="47"/>
      <c r="G62" s="7" t="s">
        <v>471</v>
      </c>
      <c r="H62" s="7" t="s">
        <v>494</v>
      </c>
      <c r="I62" s="21" t="s">
        <v>68</v>
      </c>
      <c r="J62" s="21"/>
      <c r="K62" s="22"/>
      <c r="L62" s="7" t="s">
        <v>47</v>
      </c>
      <c r="M62" s="7" t="s">
        <v>92</v>
      </c>
      <c r="N62" s="7" t="s">
        <v>92</v>
      </c>
      <c r="O62" s="7" t="s">
        <v>113</v>
      </c>
      <c r="P62" s="17">
        <f>SUMIFS('2024'!J:J,'2024'!C:C,Sheet1!C62)</f>
        <v>15972745</v>
      </c>
      <c r="Q62" s="80"/>
      <c r="R62" s="7" t="s">
        <v>47</v>
      </c>
      <c r="S62" s="7" t="s">
        <v>463</v>
      </c>
      <c r="T62" s="7" t="s">
        <v>764</v>
      </c>
      <c r="U62" s="7" t="s">
        <v>504</v>
      </c>
      <c r="V62" s="7" t="s">
        <v>765</v>
      </c>
      <c r="W62" s="7" t="s">
        <v>766</v>
      </c>
      <c r="X62" s="12" t="s">
        <v>767</v>
      </c>
      <c r="Y62" s="12"/>
      <c r="Z62" s="12"/>
      <c r="AA62" s="12" t="s">
        <v>768</v>
      </c>
      <c r="AB62" s="12" t="s">
        <v>769</v>
      </c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</row>
    <row r="63" spans="1:43">
      <c r="A63" s="12">
        <v>53</v>
      </c>
      <c r="B63" s="25">
        <v>926</v>
      </c>
      <c r="C63" s="25" t="s">
        <v>568</v>
      </c>
      <c r="D63" s="12" t="s">
        <v>466</v>
      </c>
      <c r="E63" s="16">
        <v>45015</v>
      </c>
      <c r="F63" s="47"/>
      <c r="G63" s="7" t="s">
        <v>471</v>
      </c>
      <c r="H63" s="7" t="s">
        <v>494</v>
      </c>
      <c r="I63" s="21" t="s">
        <v>68</v>
      </c>
      <c r="J63" s="21"/>
      <c r="K63" s="22"/>
      <c r="L63" s="7" t="s">
        <v>47</v>
      </c>
      <c r="M63" s="7" t="s">
        <v>92</v>
      </c>
      <c r="N63" s="7" t="s">
        <v>92</v>
      </c>
      <c r="O63" s="7" t="s">
        <v>113</v>
      </c>
      <c r="P63" s="17">
        <f>SUMIFS('2024'!J:J,'2024'!C:C,Sheet1!C63)</f>
        <v>1013964</v>
      </c>
      <c r="Q63" s="80"/>
      <c r="R63" s="7" t="s">
        <v>47</v>
      </c>
      <c r="S63" s="7" t="s">
        <v>147</v>
      </c>
      <c r="T63" s="7" t="s">
        <v>467</v>
      </c>
      <c r="U63" s="7" t="s">
        <v>504</v>
      </c>
      <c r="V63" s="7" t="s">
        <v>570</v>
      </c>
      <c r="W63" s="43" t="s">
        <v>569</v>
      </c>
      <c r="X63" s="12" t="s">
        <v>770</v>
      </c>
      <c r="Y63" s="12"/>
      <c r="Z63" s="12"/>
      <c r="AA63" s="12" t="s">
        <v>571</v>
      </c>
      <c r="AB63" s="12" t="s">
        <v>572</v>
      </c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>
      <c r="A64" s="12">
        <v>54</v>
      </c>
      <c r="B64" s="25">
        <v>15</v>
      </c>
      <c r="C64" s="25" t="s">
        <v>753</v>
      </c>
      <c r="D64" s="12" t="s">
        <v>468</v>
      </c>
      <c r="E64" s="16">
        <v>45001</v>
      </c>
      <c r="F64" s="47"/>
      <c r="G64" s="7" t="s">
        <v>471</v>
      </c>
      <c r="H64" s="7" t="s">
        <v>494</v>
      </c>
      <c r="I64" s="21" t="s">
        <v>68</v>
      </c>
      <c r="J64" s="21"/>
      <c r="K64" s="22"/>
      <c r="L64" s="7" t="s">
        <v>47</v>
      </c>
      <c r="M64" s="7" t="s">
        <v>92</v>
      </c>
      <c r="N64" s="7" t="s">
        <v>92</v>
      </c>
      <c r="O64" s="7" t="s">
        <v>113</v>
      </c>
      <c r="P64" s="17">
        <f>SUMIFS('2024'!J:J,'2024'!C:C,Sheet1!C64)</f>
        <v>2043105</v>
      </c>
      <c r="Q64" s="80"/>
      <c r="R64" s="7" t="s">
        <v>47</v>
      </c>
      <c r="S64" s="7" t="s">
        <v>463</v>
      </c>
      <c r="T64" s="7" t="s">
        <v>469</v>
      </c>
      <c r="U64" s="7" t="s">
        <v>537</v>
      </c>
      <c r="V64" s="7" t="s">
        <v>552</v>
      </c>
      <c r="W64" s="7" t="s">
        <v>573</v>
      </c>
      <c r="X64" s="83" t="s">
        <v>771</v>
      </c>
      <c r="Y64" s="84" t="s">
        <v>775</v>
      </c>
      <c r="Z64" s="12" t="s">
        <v>772</v>
      </c>
      <c r="AA64" s="12" t="s">
        <v>773</v>
      </c>
      <c r="AB64" s="84" t="s">
        <v>774</v>
      </c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</row>
    <row r="65" spans="1:43">
      <c r="A65" s="12">
        <v>55</v>
      </c>
      <c r="B65" s="25">
        <v>1184</v>
      </c>
      <c r="C65" s="25" t="s">
        <v>472</v>
      </c>
      <c r="D65" s="12" t="s">
        <v>473</v>
      </c>
      <c r="E65" s="16">
        <v>44985</v>
      </c>
      <c r="F65" s="46">
        <v>45835</v>
      </c>
      <c r="G65" s="7" t="s">
        <v>471</v>
      </c>
      <c r="H65" s="7" t="s">
        <v>494</v>
      </c>
      <c r="I65" s="31" t="s">
        <v>462</v>
      </c>
      <c r="J65" s="31"/>
      <c r="K65" s="32"/>
      <c r="L65" s="7" t="s">
        <v>47</v>
      </c>
      <c r="M65" s="7" t="s">
        <v>92</v>
      </c>
      <c r="N65" s="7" t="s">
        <v>92</v>
      </c>
      <c r="O65" s="7" t="s">
        <v>113</v>
      </c>
      <c r="P65" s="17">
        <f>SUMIFS('2024'!J:J,'2024'!C:C,Sheet1!C65)</f>
        <v>3480700</v>
      </c>
      <c r="Q65" s="80"/>
      <c r="R65" s="7" t="s">
        <v>47</v>
      </c>
      <c r="S65" s="7" t="s">
        <v>147</v>
      </c>
      <c r="T65" s="7" t="s">
        <v>474</v>
      </c>
      <c r="U65" s="7" t="s">
        <v>504</v>
      </c>
      <c r="V65" s="7" t="s">
        <v>554</v>
      </c>
      <c r="W65" s="43" t="s">
        <v>553</v>
      </c>
      <c r="X65" s="12" t="s">
        <v>475</v>
      </c>
      <c r="Y65" s="12"/>
      <c r="Z65" s="12"/>
      <c r="AA65" s="12" t="s">
        <v>476</v>
      </c>
      <c r="AB65" s="12" t="s">
        <v>477</v>
      </c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 ht="19.5" customHeight="1">
      <c r="A66" s="12">
        <v>56</v>
      </c>
      <c r="B66" s="25">
        <v>1011</v>
      </c>
      <c r="C66" s="25" t="s">
        <v>559</v>
      </c>
      <c r="D66" s="12" t="s">
        <v>478</v>
      </c>
      <c r="E66" s="16">
        <v>44985</v>
      </c>
      <c r="F66" s="46">
        <v>45842</v>
      </c>
      <c r="G66" s="7" t="s">
        <v>471</v>
      </c>
      <c r="H66" s="7" t="s">
        <v>494</v>
      </c>
      <c r="I66" s="31" t="s">
        <v>462</v>
      </c>
      <c r="J66" s="31"/>
      <c r="K66" s="32"/>
      <c r="L66" s="7" t="s">
        <v>47</v>
      </c>
      <c r="M66" s="7" t="s">
        <v>92</v>
      </c>
      <c r="N66" s="7" t="s">
        <v>92</v>
      </c>
      <c r="O66" s="7" t="s">
        <v>113</v>
      </c>
      <c r="P66" s="17">
        <f>SUMIFS('2024'!J:J,'2024'!C:C,Sheet1!C66)</f>
        <v>4304000</v>
      </c>
      <c r="Q66" s="80"/>
      <c r="R66" s="7" t="s">
        <v>47</v>
      </c>
      <c r="S66" s="7" t="s">
        <v>147</v>
      </c>
      <c r="T66" s="7" t="s">
        <v>474</v>
      </c>
      <c r="U66" s="7" t="s">
        <v>497</v>
      </c>
      <c r="V66" s="7" t="s">
        <v>556</v>
      </c>
      <c r="W66" s="43" t="s">
        <v>557</v>
      </c>
      <c r="X66" s="12" t="s">
        <v>555</v>
      </c>
      <c r="Y66" s="12"/>
      <c r="Z66" s="12"/>
      <c r="AA66" s="12" t="s">
        <v>479</v>
      </c>
      <c r="AB66" s="12" t="s">
        <v>480</v>
      </c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</row>
    <row r="67" spans="1:43">
      <c r="A67" s="12">
        <v>57</v>
      </c>
      <c r="B67" s="25">
        <v>984</v>
      </c>
      <c r="C67" s="25" t="s">
        <v>481</v>
      </c>
      <c r="D67" s="12" t="s">
        <v>482</v>
      </c>
      <c r="E67" s="16">
        <v>45015</v>
      </c>
      <c r="F67" s="47"/>
      <c r="G67" s="7" t="s">
        <v>471</v>
      </c>
      <c r="H67" s="7" t="s">
        <v>494</v>
      </c>
      <c r="I67" s="21" t="s">
        <v>68</v>
      </c>
      <c r="J67" s="21"/>
      <c r="K67" s="22"/>
      <c r="L67" s="7" t="s">
        <v>47</v>
      </c>
      <c r="M67" s="7" t="s">
        <v>92</v>
      </c>
      <c r="N67" s="7" t="s">
        <v>92</v>
      </c>
      <c r="O67" s="7" t="s">
        <v>113</v>
      </c>
      <c r="P67" s="17">
        <f>SUMIFS('2024'!J:J,'2024'!C:C,Sheet1!C67)</f>
        <v>3555000</v>
      </c>
      <c r="Q67" s="80"/>
      <c r="R67" s="7" t="s">
        <v>47</v>
      </c>
      <c r="S67" s="7" t="s">
        <v>463</v>
      </c>
      <c r="T67" s="7" t="s">
        <v>483</v>
      </c>
      <c r="U67" s="7" t="s">
        <v>497</v>
      </c>
      <c r="V67" s="7" t="s">
        <v>558</v>
      </c>
      <c r="W67" s="43" t="s">
        <v>560</v>
      </c>
      <c r="X67" s="12" t="s">
        <v>484</v>
      </c>
      <c r="Y67" s="12"/>
      <c r="Z67" s="12"/>
      <c r="AA67" s="12" t="s">
        <v>485</v>
      </c>
      <c r="AB67" s="12" t="s">
        <v>486</v>
      </c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 s="52" customFormat="1">
      <c r="A68" s="12">
        <v>58</v>
      </c>
      <c r="B68" s="25">
        <v>1148</v>
      </c>
      <c r="C68" s="25" t="s">
        <v>756</v>
      </c>
      <c r="D68" s="12" t="s">
        <v>757</v>
      </c>
      <c r="E68" s="16">
        <v>45015</v>
      </c>
      <c r="F68" s="47"/>
      <c r="G68" s="7" t="s">
        <v>471</v>
      </c>
      <c r="H68" s="7" t="s">
        <v>493</v>
      </c>
      <c r="I68" s="31" t="s">
        <v>462</v>
      </c>
      <c r="J68" s="81">
        <v>46117</v>
      </c>
      <c r="K68" s="32" t="s">
        <v>760</v>
      </c>
      <c r="L68" s="7" t="s">
        <v>47</v>
      </c>
      <c r="M68" s="7" t="s">
        <v>47</v>
      </c>
      <c r="N68" s="7" t="s">
        <v>48</v>
      </c>
      <c r="O68" s="7" t="s">
        <v>113</v>
      </c>
      <c r="P68" s="17">
        <f>SUMIFS('2024'!J:J,'2024'!C:C,Sheet1!C68)</f>
        <v>539263</v>
      </c>
      <c r="Q68" s="80"/>
      <c r="R68" s="7" t="s">
        <v>47</v>
      </c>
      <c r="S68" s="7" t="s">
        <v>463</v>
      </c>
      <c r="T68" s="7" t="s">
        <v>51</v>
      </c>
      <c r="U68" s="7" t="s">
        <v>497</v>
      </c>
      <c r="V68" s="7" t="s">
        <v>758</v>
      </c>
      <c r="W68" s="43" t="s">
        <v>776</v>
      </c>
      <c r="X68" s="12" t="s">
        <v>777</v>
      </c>
      <c r="Y68" s="12" t="s">
        <v>778</v>
      </c>
      <c r="Z68" s="12" t="s">
        <v>779</v>
      </c>
      <c r="AA68" s="12" t="s">
        <v>780</v>
      </c>
      <c r="AB68" s="12" t="s">
        <v>781</v>
      </c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</row>
    <row r="69" spans="1:43" s="52" customFormat="1">
      <c r="A69" s="12">
        <v>59</v>
      </c>
      <c r="B69" s="25">
        <v>1137</v>
      </c>
      <c r="C69" s="25" t="s">
        <v>794</v>
      </c>
      <c r="D69" s="12" t="s">
        <v>795</v>
      </c>
      <c r="E69" s="16">
        <v>45015</v>
      </c>
      <c r="F69" s="47"/>
      <c r="G69" s="7" t="s">
        <v>471</v>
      </c>
      <c r="H69" s="7" t="s">
        <v>494</v>
      </c>
      <c r="I69" s="31" t="s">
        <v>462</v>
      </c>
      <c r="J69" s="81">
        <v>46117</v>
      </c>
      <c r="K69" s="32" t="s">
        <v>760</v>
      </c>
      <c r="L69" s="7" t="s">
        <v>47</v>
      </c>
      <c r="M69" s="7" t="s">
        <v>47</v>
      </c>
      <c r="N69" s="7" t="s">
        <v>48</v>
      </c>
      <c r="O69" s="7" t="s">
        <v>113</v>
      </c>
      <c r="P69" s="17">
        <f>SUMIFS('2024'!J:J,'2024'!C:C,Sheet1!C69)</f>
        <v>0</v>
      </c>
      <c r="Q69" s="80"/>
      <c r="R69" s="7" t="s">
        <v>47</v>
      </c>
      <c r="S69" s="7" t="s">
        <v>463</v>
      </c>
      <c r="T69" s="7" t="s">
        <v>51</v>
      </c>
      <c r="U69" s="7" t="s">
        <v>497</v>
      </c>
      <c r="V69" s="7" t="s">
        <v>758</v>
      </c>
      <c r="W69" s="43" t="s">
        <v>776</v>
      </c>
      <c r="X69" s="12" t="s">
        <v>777</v>
      </c>
      <c r="Y69" s="12" t="s">
        <v>778</v>
      </c>
      <c r="Z69" s="12" t="s">
        <v>779</v>
      </c>
      <c r="AA69" s="12" t="s">
        <v>780</v>
      </c>
      <c r="AB69" s="12" t="s">
        <v>781</v>
      </c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</sheetData>
  <autoFilter ref="A5:WWY66" xr:uid="{00000000-0009-0000-0000-000000000000}"/>
  <phoneticPr fontId="1"/>
  <hyperlinks>
    <hyperlink ref="W15" r:id="rId1" xr:uid="{00000000-0004-0000-0000-000000000000}"/>
    <hyperlink ref="W12" r:id="rId2" xr:uid="{00000000-0004-0000-0000-000001000000}"/>
    <hyperlink ref="W17" r:id="rId3" xr:uid="{00000000-0004-0000-0000-000002000000}"/>
    <hyperlink ref="W18" r:id="rId4" xr:uid="{00000000-0004-0000-0000-000003000000}"/>
    <hyperlink ref="W25" r:id="rId5" xr:uid="{00000000-0004-0000-0000-000004000000}"/>
    <hyperlink ref="W26" r:id="rId6" xr:uid="{00000000-0004-0000-0000-000005000000}"/>
    <hyperlink ref="W28" r:id="rId7" xr:uid="{00000000-0004-0000-0000-000006000000}"/>
    <hyperlink ref="W41" r:id="rId8" xr:uid="{00000000-0004-0000-0000-000007000000}"/>
    <hyperlink ref="W42" r:id="rId9" xr:uid="{00000000-0004-0000-0000-000008000000}"/>
    <hyperlink ref="W48" r:id="rId10" xr:uid="{00000000-0004-0000-0000-000009000000}"/>
    <hyperlink ref="W54" r:id="rId11" xr:uid="{00000000-0004-0000-0000-00000A000000}"/>
    <hyperlink ref="W65" r:id="rId12" xr:uid="{00000000-0004-0000-0000-00000B000000}"/>
    <hyperlink ref="W67" r:id="rId13" xr:uid="{00000000-0004-0000-0000-00000C000000}"/>
    <hyperlink ref="W63" r:id="rId14" xr:uid="{00000000-0004-0000-0000-00000D000000}"/>
    <hyperlink ref="W68" r:id="rId15" xr:uid="{BDD5422E-86C0-404C-83B0-87C8966D8F75}"/>
    <hyperlink ref="W69" r:id="rId16" xr:uid="{0C6F6B1F-BE4C-47F7-9AAD-902740FF206C}"/>
  </hyperlinks>
  <pageMargins left="0.7" right="0.7" top="0.75" bottom="0.75" header="0.3" footer="0.3"/>
  <pageSetup paperSize="9" orientation="portrait" r:id="rId17"/>
  <drawing r:id="rId18"/>
  <legacy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BFBA-54FD-4EA5-8D37-B3A11E77F796}">
  <dimension ref="B1:U64"/>
  <sheetViews>
    <sheetView topLeftCell="A52" workbookViewId="0">
      <selection activeCell="C64" sqref="C64"/>
    </sheetView>
  </sheetViews>
  <sheetFormatPr defaultRowHeight="18.75"/>
  <cols>
    <col min="1" max="1" width="4.625" customWidth="1"/>
    <col min="3" max="3" width="25.5" bestFit="1" customWidth="1"/>
    <col min="4" max="4" width="22.375" bestFit="1" customWidth="1"/>
    <col min="5" max="5" width="14.125" customWidth="1"/>
    <col min="6" max="6" width="11.25" customWidth="1"/>
    <col min="8" max="8" width="13.25" bestFit="1" customWidth="1"/>
    <col min="10" max="10" width="14.625" bestFit="1" customWidth="1"/>
    <col min="16" max="16" width="21.625" bestFit="1" customWidth="1"/>
    <col min="18" max="18" width="10.75" bestFit="1" customWidth="1"/>
  </cols>
  <sheetData>
    <row r="1" spans="2:21" ht="19.5">
      <c r="B1" s="73" t="s">
        <v>575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2:21">
      <c r="B2" s="53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</row>
    <row r="3" spans="2:21">
      <c r="B3" s="53" t="s">
        <v>576</v>
      </c>
      <c r="C3" s="52"/>
      <c r="D3" s="72">
        <v>45662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</row>
    <row r="4" spans="2:21" ht="47.25">
      <c r="B4" s="68" t="s">
        <v>577</v>
      </c>
      <c r="C4" s="68" t="s">
        <v>578</v>
      </c>
      <c r="D4" s="68" t="s">
        <v>579</v>
      </c>
      <c r="E4" s="68" t="s">
        <v>580</v>
      </c>
      <c r="F4" s="69" t="s">
        <v>581</v>
      </c>
      <c r="G4" s="68" t="s">
        <v>582</v>
      </c>
      <c r="H4" s="70" t="s">
        <v>583</v>
      </c>
      <c r="I4" s="68" t="s">
        <v>584</v>
      </c>
      <c r="J4" s="71" t="s">
        <v>585</v>
      </c>
      <c r="K4" s="68" t="s">
        <v>586</v>
      </c>
      <c r="L4" s="68" t="s">
        <v>587</v>
      </c>
      <c r="M4" s="68" t="s">
        <v>588</v>
      </c>
      <c r="N4" s="52"/>
      <c r="O4" s="51" t="s">
        <v>589</v>
      </c>
      <c r="P4" s="51"/>
      <c r="Q4" s="51" t="s">
        <v>590</v>
      </c>
      <c r="R4" s="51"/>
      <c r="S4" s="49" t="s">
        <v>591</v>
      </c>
      <c r="T4" s="50"/>
      <c r="U4" s="79"/>
    </row>
    <row r="5" spans="2:21">
      <c r="B5" s="76">
        <v>1</v>
      </c>
      <c r="C5" s="74" t="s">
        <v>674</v>
      </c>
      <c r="D5" s="74" t="s">
        <v>592</v>
      </c>
      <c r="E5" s="63">
        <v>45652</v>
      </c>
      <c r="F5" s="64">
        <v>10</v>
      </c>
      <c r="G5" s="65" t="s">
        <v>593</v>
      </c>
      <c r="H5" s="66">
        <v>81</v>
      </c>
      <c r="I5" s="65" t="s">
        <v>594</v>
      </c>
      <c r="J5" s="67">
        <v>198335080</v>
      </c>
      <c r="K5" s="65" t="s">
        <v>593</v>
      </c>
      <c r="L5" s="65">
        <v>14</v>
      </c>
      <c r="M5" s="65" t="s">
        <v>595</v>
      </c>
      <c r="N5" s="52"/>
      <c r="O5" s="55">
        <v>5</v>
      </c>
      <c r="P5" s="54" t="s">
        <v>596</v>
      </c>
      <c r="Q5" s="55">
        <v>5</v>
      </c>
      <c r="R5" s="54" t="s">
        <v>597</v>
      </c>
      <c r="S5" s="55">
        <v>5</v>
      </c>
      <c r="T5" s="54" t="s">
        <v>598</v>
      </c>
      <c r="U5" s="54"/>
    </row>
    <row r="6" spans="2:21">
      <c r="B6" s="55">
        <v>2</v>
      </c>
      <c r="C6" s="54" t="s">
        <v>674</v>
      </c>
      <c r="D6" s="54" t="s">
        <v>599</v>
      </c>
      <c r="E6" s="57">
        <v>45446</v>
      </c>
      <c r="F6" s="60">
        <v>216</v>
      </c>
      <c r="G6" s="61" t="s">
        <v>98</v>
      </c>
      <c r="H6" s="59">
        <v>3</v>
      </c>
      <c r="I6" s="61" t="s">
        <v>98</v>
      </c>
      <c r="J6" s="56">
        <v>501309</v>
      </c>
      <c r="K6" s="61" t="s">
        <v>98</v>
      </c>
      <c r="L6" s="61">
        <v>3</v>
      </c>
      <c r="M6" s="61" t="s">
        <v>600</v>
      </c>
      <c r="N6" s="52"/>
      <c r="O6" s="55">
        <v>4</v>
      </c>
      <c r="P6" s="54" t="s">
        <v>601</v>
      </c>
      <c r="Q6" s="55">
        <v>4</v>
      </c>
      <c r="R6" s="54" t="s">
        <v>602</v>
      </c>
      <c r="S6" s="55">
        <v>4</v>
      </c>
      <c r="T6" s="54" t="s">
        <v>603</v>
      </c>
      <c r="U6" s="54"/>
    </row>
    <row r="7" spans="2:21">
      <c r="B7" s="62">
        <v>3</v>
      </c>
      <c r="C7" s="54" t="s">
        <v>676</v>
      </c>
      <c r="D7" s="54" t="s">
        <v>604</v>
      </c>
      <c r="E7" s="57">
        <v>45621</v>
      </c>
      <c r="F7" s="60">
        <v>41</v>
      </c>
      <c r="G7" s="61" t="s">
        <v>594</v>
      </c>
      <c r="H7" s="59">
        <v>12</v>
      </c>
      <c r="I7" s="61" t="s">
        <v>98</v>
      </c>
      <c r="J7" s="56">
        <v>29643051</v>
      </c>
      <c r="K7" s="61" t="s">
        <v>593</v>
      </c>
      <c r="L7" s="61">
        <v>10</v>
      </c>
      <c r="M7" s="61" t="s">
        <v>605</v>
      </c>
      <c r="N7" s="52"/>
      <c r="O7" s="55">
        <v>3</v>
      </c>
      <c r="P7" s="54" t="s">
        <v>606</v>
      </c>
      <c r="Q7" s="55">
        <v>3</v>
      </c>
      <c r="R7" s="54" t="s">
        <v>607</v>
      </c>
      <c r="S7" s="55">
        <v>3</v>
      </c>
      <c r="T7" s="54" t="s">
        <v>608</v>
      </c>
      <c r="U7" s="54"/>
    </row>
    <row r="8" spans="2:21">
      <c r="B8" s="55">
        <v>4</v>
      </c>
      <c r="C8" s="54" t="s">
        <v>675</v>
      </c>
      <c r="D8" s="54" t="s">
        <v>609</v>
      </c>
      <c r="E8" s="57">
        <v>45646</v>
      </c>
      <c r="F8" s="60">
        <v>16</v>
      </c>
      <c r="G8" s="61" t="s">
        <v>593</v>
      </c>
      <c r="H8" s="59">
        <v>10</v>
      </c>
      <c r="I8" s="61" t="s">
        <v>98</v>
      </c>
      <c r="J8" s="56">
        <v>49831705</v>
      </c>
      <c r="K8" s="61" t="s">
        <v>593</v>
      </c>
      <c r="L8" s="61">
        <v>11</v>
      </c>
      <c r="M8" s="61" t="s">
        <v>605</v>
      </c>
      <c r="N8" s="52"/>
      <c r="O8" s="55">
        <v>2</v>
      </c>
      <c r="P8" s="54" t="s">
        <v>610</v>
      </c>
      <c r="Q8" s="55">
        <v>2</v>
      </c>
      <c r="R8" s="54" t="s">
        <v>611</v>
      </c>
      <c r="S8" s="55">
        <v>2</v>
      </c>
      <c r="T8" s="54" t="s">
        <v>612</v>
      </c>
      <c r="U8" s="54"/>
    </row>
    <row r="9" spans="2:21">
      <c r="B9" s="62">
        <v>5</v>
      </c>
      <c r="C9" s="54" t="s">
        <v>678</v>
      </c>
      <c r="D9" s="54" t="s">
        <v>609</v>
      </c>
      <c r="E9" s="57">
        <v>45495</v>
      </c>
      <c r="F9" s="60">
        <v>167</v>
      </c>
      <c r="G9" s="61" t="s">
        <v>60</v>
      </c>
      <c r="H9" s="59">
        <v>2</v>
      </c>
      <c r="I9" s="61" t="s">
        <v>98</v>
      </c>
      <c r="J9" s="56">
        <v>623186</v>
      </c>
      <c r="K9" s="61" t="s">
        <v>98</v>
      </c>
      <c r="L9" s="61">
        <v>4</v>
      </c>
      <c r="M9" s="61" t="s">
        <v>600</v>
      </c>
      <c r="N9" s="52"/>
      <c r="O9" s="55">
        <v>1</v>
      </c>
      <c r="P9" s="54" t="s">
        <v>613</v>
      </c>
      <c r="Q9" s="55">
        <v>1</v>
      </c>
      <c r="R9" s="54" t="s">
        <v>614</v>
      </c>
      <c r="S9" s="55">
        <v>1</v>
      </c>
      <c r="T9" s="54" t="s">
        <v>615</v>
      </c>
      <c r="U9" s="54"/>
    </row>
    <row r="10" spans="2:21">
      <c r="B10" s="55">
        <v>6</v>
      </c>
      <c r="C10" s="54" t="s">
        <v>677</v>
      </c>
      <c r="D10" s="54" t="s">
        <v>592</v>
      </c>
      <c r="E10" s="57">
        <v>45639</v>
      </c>
      <c r="F10" s="60">
        <v>23</v>
      </c>
      <c r="G10" s="61" t="s">
        <v>593</v>
      </c>
      <c r="H10" s="59">
        <v>1</v>
      </c>
      <c r="I10" s="61" t="s">
        <v>98</v>
      </c>
      <c r="J10" s="56">
        <v>236368</v>
      </c>
      <c r="K10" s="61" t="s">
        <v>98</v>
      </c>
      <c r="L10" s="61">
        <v>7</v>
      </c>
      <c r="M10" s="61" t="s">
        <v>605</v>
      </c>
      <c r="N10" s="52"/>
      <c r="O10" s="52"/>
      <c r="P10" s="52"/>
      <c r="Q10" s="52"/>
      <c r="R10" s="52"/>
      <c r="S10" s="52"/>
      <c r="T10" s="52"/>
      <c r="U10" s="52"/>
    </row>
    <row r="11" spans="2:21">
      <c r="B11" s="76">
        <v>7</v>
      </c>
      <c r="C11" s="75" t="s">
        <v>679</v>
      </c>
      <c r="D11" s="75" t="s">
        <v>592</v>
      </c>
      <c r="E11" s="57">
        <v>45653</v>
      </c>
      <c r="F11" s="60">
        <v>9</v>
      </c>
      <c r="G11" s="61" t="s">
        <v>593</v>
      </c>
      <c r="H11" s="59">
        <v>87</v>
      </c>
      <c r="I11" s="61" t="s">
        <v>594</v>
      </c>
      <c r="J11" s="56">
        <v>38346348</v>
      </c>
      <c r="K11" s="61" t="s">
        <v>593</v>
      </c>
      <c r="L11" s="61">
        <v>14</v>
      </c>
      <c r="M11" s="61" t="s">
        <v>595</v>
      </c>
      <c r="N11" s="52"/>
      <c r="O11" s="52"/>
      <c r="P11" s="52"/>
      <c r="Q11" s="52"/>
      <c r="R11" s="52"/>
      <c r="S11" s="52"/>
      <c r="T11" s="52"/>
      <c r="U11" s="52"/>
    </row>
    <row r="12" spans="2:21">
      <c r="B12" s="55">
        <v>8</v>
      </c>
      <c r="C12" s="54" t="s">
        <v>679</v>
      </c>
      <c r="D12" s="54" t="s">
        <v>599</v>
      </c>
      <c r="E12" s="57">
        <v>45639</v>
      </c>
      <c r="F12" s="60">
        <v>23</v>
      </c>
      <c r="G12" s="61" t="s">
        <v>593</v>
      </c>
      <c r="H12" s="59">
        <v>37</v>
      </c>
      <c r="I12" s="61" t="s">
        <v>60</v>
      </c>
      <c r="J12" s="56">
        <v>10985990</v>
      </c>
      <c r="K12" s="61" t="s">
        <v>593</v>
      </c>
      <c r="L12" s="61">
        <v>12</v>
      </c>
      <c r="M12" s="61" t="s">
        <v>605</v>
      </c>
      <c r="N12" s="52"/>
      <c r="O12" s="53" t="s">
        <v>616</v>
      </c>
      <c r="P12" s="53" t="s">
        <v>617</v>
      </c>
      <c r="Q12" s="52"/>
      <c r="R12" s="52"/>
      <c r="S12" s="52"/>
      <c r="T12" s="52"/>
      <c r="U12" s="52"/>
    </row>
    <row r="13" spans="2:21">
      <c r="B13" s="76">
        <v>9</v>
      </c>
      <c r="C13" s="75" t="s">
        <v>618</v>
      </c>
      <c r="D13" s="75" t="s">
        <v>619</v>
      </c>
      <c r="E13" s="57">
        <v>45643</v>
      </c>
      <c r="F13" s="60">
        <v>19</v>
      </c>
      <c r="G13" s="61" t="s">
        <v>593</v>
      </c>
      <c r="H13" s="59">
        <v>55</v>
      </c>
      <c r="I13" s="61" t="s">
        <v>620</v>
      </c>
      <c r="J13" s="56">
        <v>18456325</v>
      </c>
      <c r="K13" s="61" t="s">
        <v>593</v>
      </c>
      <c r="L13" s="61">
        <v>13</v>
      </c>
      <c r="M13" s="61" t="s">
        <v>595</v>
      </c>
      <c r="N13" s="52"/>
      <c r="O13" s="53" t="s">
        <v>621</v>
      </c>
      <c r="P13" s="53" t="s">
        <v>595</v>
      </c>
      <c r="Q13" s="52"/>
      <c r="R13" s="52"/>
      <c r="S13" s="52"/>
      <c r="T13" s="52"/>
      <c r="U13" s="52"/>
    </row>
    <row r="14" spans="2:21">
      <c r="B14" s="55">
        <v>10</v>
      </c>
      <c r="C14" s="54" t="s">
        <v>622</v>
      </c>
      <c r="D14" s="54" t="s">
        <v>623</v>
      </c>
      <c r="E14" s="57">
        <v>45651</v>
      </c>
      <c r="F14" s="60">
        <v>11</v>
      </c>
      <c r="G14" s="61" t="s">
        <v>593</v>
      </c>
      <c r="H14" s="59">
        <v>4</v>
      </c>
      <c r="I14" s="61" t="s">
        <v>98</v>
      </c>
      <c r="J14" s="56">
        <v>262360</v>
      </c>
      <c r="K14" s="61" t="s">
        <v>98</v>
      </c>
      <c r="L14" s="61">
        <v>7</v>
      </c>
      <c r="M14" s="61" t="s">
        <v>605</v>
      </c>
      <c r="N14" s="52"/>
      <c r="O14" s="53" t="s">
        <v>624</v>
      </c>
      <c r="P14" s="53" t="s">
        <v>605</v>
      </c>
      <c r="Q14" s="52"/>
      <c r="R14" s="52"/>
      <c r="S14" s="52"/>
      <c r="T14" s="52"/>
      <c r="U14" s="52"/>
    </row>
    <row r="15" spans="2:21">
      <c r="B15" s="62">
        <v>11</v>
      </c>
      <c r="C15" s="54" t="s">
        <v>685</v>
      </c>
      <c r="D15" s="54" t="s">
        <v>625</v>
      </c>
      <c r="E15" s="57">
        <v>45645</v>
      </c>
      <c r="F15" s="60">
        <v>17</v>
      </c>
      <c r="G15" s="61" t="s">
        <v>593</v>
      </c>
      <c r="H15" s="59">
        <v>10</v>
      </c>
      <c r="I15" s="61" t="s">
        <v>98</v>
      </c>
      <c r="J15" s="56">
        <v>1842500</v>
      </c>
      <c r="K15" s="61" t="s">
        <v>60</v>
      </c>
      <c r="L15" s="61">
        <v>8</v>
      </c>
      <c r="M15" s="61" t="s">
        <v>605</v>
      </c>
      <c r="N15" s="52"/>
      <c r="O15" s="53" t="s">
        <v>626</v>
      </c>
      <c r="P15" s="53" t="s">
        <v>627</v>
      </c>
      <c r="Q15" s="52"/>
      <c r="R15" s="52"/>
      <c r="S15" s="52"/>
      <c r="T15" s="52"/>
      <c r="U15" s="52"/>
    </row>
    <row r="16" spans="2:21">
      <c r="B16" s="55">
        <v>12</v>
      </c>
      <c r="C16" s="54" t="s">
        <v>687</v>
      </c>
      <c r="D16" s="54" t="s">
        <v>628</v>
      </c>
      <c r="E16" s="57">
        <v>45642</v>
      </c>
      <c r="F16" s="60">
        <v>20</v>
      </c>
      <c r="G16" s="61" t="s">
        <v>593</v>
      </c>
      <c r="H16" s="59">
        <v>5</v>
      </c>
      <c r="I16" s="61" t="s">
        <v>98</v>
      </c>
      <c r="J16" s="56">
        <v>120000</v>
      </c>
      <c r="K16" s="61" t="s">
        <v>98</v>
      </c>
      <c r="L16" s="61">
        <v>7</v>
      </c>
      <c r="M16" s="61" t="s">
        <v>605</v>
      </c>
      <c r="N16" s="52"/>
      <c r="O16" s="53" t="s">
        <v>629</v>
      </c>
      <c r="P16" s="53" t="s">
        <v>600</v>
      </c>
      <c r="Q16" s="52"/>
      <c r="R16" s="52"/>
      <c r="S16" s="52"/>
      <c r="T16" s="52"/>
      <c r="U16" s="52"/>
    </row>
    <row r="17" spans="2:13">
      <c r="B17" s="76">
        <v>13</v>
      </c>
      <c r="C17" s="75" t="s">
        <v>697</v>
      </c>
      <c r="D17" s="75" t="s">
        <v>187</v>
      </c>
      <c r="E17" s="57">
        <v>45651</v>
      </c>
      <c r="F17" s="60">
        <v>11</v>
      </c>
      <c r="G17" s="61" t="s">
        <v>593</v>
      </c>
      <c r="H17" s="59">
        <v>60</v>
      </c>
      <c r="I17" s="61" t="s">
        <v>620</v>
      </c>
      <c r="J17" s="56">
        <v>23282660</v>
      </c>
      <c r="K17" s="61" t="s">
        <v>593</v>
      </c>
      <c r="L17" s="61">
        <v>13</v>
      </c>
      <c r="M17" s="61" t="s">
        <v>595</v>
      </c>
    </row>
    <row r="18" spans="2:13">
      <c r="B18" s="55">
        <v>14</v>
      </c>
      <c r="C18" s="54" t="s">
        <v>686</v>
      </c>
      <c r="D18" s="54" t="s">
        <v>630</v>
      </c>
      <c r="E18" s="57">
        <v>45637</v>
      </c>
      <c r="F18" s="60">
        <v>25</v>
      </c>
      <c r="G18" s="61" t="s">
        <v>593</v>
      </c>
      <c r="H18" s="59">
        <v>6</v>
      </c>
      <c r="I18" s="61" t="s">
        <v>98</v>
      </c>
      <c r="J18" s="56">
        <v>848000</v>
      </c>
      <c r="K18" s="61" t="s">
        <v>98</v>
      </c>
      <c r="L18" s="61">
        <v>7</v>
      </c>
      <c r="M18" s="61" t="s">
        <v>605</v>
      </c>
    </row>
    <row r="19" spans="2:13">
      <c r="B19" s="62">
        <v>15</v>
      </c>
      <c r="C19" s="54" t="s">
        <v>702</v>
      </c>
      <c r="D19" s="54" t="s">
        <v>631</v>
      </c>
      <c r="E19" s="57">
        <v>45651</v>
      </c>
      <c r="F19" s="60">
        <v>11</v>
      </c>
      <c r="G19" s="61" t="s">
        <v>593</v>
      </c>
      <c r="H19" s="59">
        <v>159</v>
      </c>
      <c r="I19" s="61" t="s">
        <v>593</v>
      </c>
      <c r="J19" s="56">
        <v>2798957</v>
      </c>
      <c r="K19" s="61" t="s">
        <v>60</v>
      </c>
      <c r="L19" s="61">
        <v>12</v>
      </c>
      <c r="M19" s="61" t="s">
        <v>605</v>
      </c>
    </row>
    <row r="20" spans="2:13">
      <c r="B20" s="77">
        <v>16</v>
      </c>
      <c r="C20" s="75" t="s">
        <v>691</v>
      </c>
      <c r="D20" s="75" t="s">
        <v>632</v>
      </c>
      <c r="E20" s="57">
        <v>45639</v>
      </c>
      <c r="F20" s="60">
        <v>23</v>
      </c>
      <c r="G20" s="61" t="s">
        <v>593</v>
      </c>
      <c r="H20" s="59">
        <v>382</v>
      </c>
      <c r="I20" s="61" t="s">
        <v>593</v>
      </c>
      <c r="J20" s="56">
        <v>4928081</v>
      </c>
      <c r="K20" s="61" t="s">
        <v>620</v>
      </c>
      <c r="L20" s="61">
        <v>13</v>
      </c>
      <c r="M20" s="61" t="s">
        <v>595</v>
      </c>
    </row>
    <row r="21" spans="2:13">
      <c r="B21" s="76">
        <v>17</v>
      </c>
      <c r="C21" s="75" t="s">
        <v>694</v>
      </c>
      <c r="D21" s="75" t="s">
        <v>633</v>
      </c>
      <c r="E21" s="57">
        <v>45652</v>
      </c>
      <c r="F21" s="60">
        <v>10</v>
      </c>
      <c r="G21" s="61" t="s">
        <v>593</v>
      </c>
      <c r="H21" s="59">
        <v>333</v>
      </c>
      <c r="I21" s="61" t="s">
        <v>593</v>
      </c>
      <c r="J21" s="56">
        <v>3836641</v>
      </c>
      <c r="K21" s="61" t="s">
        <v>620</v>
      </c>
      <c r="L21" s="61">
        <v>13</v>
      </c>
      <c r="M21" s="61" t="s">
        <v>595</v>
      </c>
    </row>
    <row r="22" spans="2:13">
      <c r="B22" s="55">
        <v>18</v>
      </c>
      <c r="C22" s="54" t="s">
        <v>682</v>
      </c>
      <c r="D22" s="54" t="s">
        <v>634</v>
      </c>
      <c r="E22" s="57">
        <v>45651</v>
      </c>
      <c r="F22" s="60">
        <v>11</v>
      </c>
      <c r="G22" s="61" t="s">
        <v>593</v>
      </c>
      <c r="H22" s="59">
        <v>26</v>
      </c>
      <c r="I22" s="61" t="s">
        <v>98</v>
      </c>
      <c r="J22" s="56">
        <v>1699686</v>
      </c>
      <c r="K22" s="61" t="s">
        <v>60</v>
      </c>
      <c r="L22" s="61">
        <v>8</v>
      </c>
      <c r="M22" s="61" t="s">
        <v>605</v>
      </c>
    </row>
    <row r="23" spans="2:13">
      <c r="B23" s="62">
        <v>19</v>
      </c>
      <c r="C23" s="54" t="s">
        <v>684</v>
      </c>
      <c r="D23" s="54" t="s">
        <v>94</v>
      </c>
      <c r="E23" s="57">
        <v>45650</v>
      </c>
      <c r="F23" s="60">
        <v>12</v>
      </c>
      <c r="G23" s="61" t="s">
        <v>593</v>
      </c>
      <c r="H23" s="59">
        <v>23</v>
      </c>
      <c r="I23" s="61" t="s">
        <v>98</v>
      </c>
      <c r="J23" s="56">
        <v>1699686</v>
      </c>
      <c r="K23" s="61" t="s">
        <v>60</v>
      </c>
      <c r="L23" s="61">
        <v>8</v>
      </c>
      <c r="M23" s="61" t="s">
        <v>605</v>
      </c>
    </row>
    <row r="24" spans="2:13">
      <c r="B24" s="55">
        <v>20</v>
      </c>
      <c r="C24" s="54" t="s">
        <v>693</v>
      </c>
      <c r="D24" s="54" t="s">
        <v>635</v>
      </c>
      <c r="E24" s="57">
        <v>45650</v>
      </c>
      <c r="F24" s="60">
        <v>12</v>
      </c>
      <c r="G24" s="61" t="s">
        <v>593</v>
      </c>
      <c r="H24" s="59">
        <v>4</v>
      </c>
      <c r="I24" s="61" t="s">
        <v>98</v>
      </c>
      <c r="J24" s="56">
        <v>78168</v>
      </c>
      <c r="K24" s="61" t="s">
        <v>98</v>
      </c>
      <c r="L24" s="61">
        <v>7</v>
      </c>
      <c r="M24" s="61" t="s">
        <v>605</v>
      </c>
    </row>
    <row r="25" spans="2:13">
      <c r="B25" s="62">
        <v>21</v>
      </c>
      <c r="C25" s="54" t="s">
        <v>711</v>
      </c>
      <c r="D25" s="54" t="s">
        <v>636</v>
      </c>
      <c r="E25" s="57">
        <v>45602</v>
      </c>
      <c r="F25" s="60">
        <v>60</v>
      </c>
      <c r="G25" s="61" t="s">
        <v>620</v>
      </c>
      <c r="H25" s="59">
        <v>46</v>
      </c>
      <c r="I25" s="61" t="s">
        <v>60</v>
      </c>
      <c r="J25" s="56">
        <v>4763331</v>
      </c>
      <c r="K25" s="61" t="s">
        <v>620</v>
      </c>
      <c r="L25" s="61">
        <v>8</v>
      </c>
      <c r="M25" s="61" t="s">
        <v>605</v>
      </c>
    </row>
    <row r="26" spans="2:13">
      <c r="B26" s="55">
        <v>22</v>
      </c>
      <c r="C26" s="54" t="s">
        <v>637</v>
      </c>
      <c r="D26" s="54" t="s">
        <v>372</v>
      </c>
      <c r="E26" s="57">
        <v>45637</v>
      </c>
      <c r="F26" s="60">
        <v>25</v>
      </c>
      <c r="G26" s="61" t="s">
        <v>593</v>
      </c>
      <c r="H26" s="59">
        <v>10</v>
      </c>
      <c r="I26" s="61" t="s">
        <v>98</v>
      </c>
      <c r="J26" s="56">
        <v>113600</v>
      </c>
      <c r="K26" s="61" t="s">
        <v>98</v>
      </c>
      <c r="L26" s="61">
        <v>7</v>
      </c>
      <c r="M26" s="61" t="s">
        <v>605</v>
      </c>
    </row>
    <row r="27" spans="2:13">
      <c r="B27" s="62">
        <v>23</v>
      </c>
      <c r="C27" s="54" t="s">
        <v>638</v>
      </c>
      <c r="D27" s="54" t="s">
        <v>639</v>
      </c>
      <c r="E27" s="57">
        <v>45559</v>
      </c>
      <c r="F27" s="60">
        <v>103</v>
      </c>
      <c r="G27" s="61" t="s">
        <v>60</v>
      </c>
      <c r="H27" s="59">
        <v>20</v>
      </c>
      <c r="I27" s="61" t="s">
        <v>98</v>
      </c>
      <c r="J27" s="56">
        <v>216350</v>
      </c>
      <c r="K27" s="61" t="s">
        <v>98</v>
      </c>
      <c r="L27" s="61">
        <v>4</v>
      </c>
      <c r="M27" s="61" t="s">
        <v>600</v>
      </c>
    </row>
    <row r="28" spans="2:13">
      <c r="B28" s="55">
        <v>24</v>
      </c>
      <c r="C28" s="54" t="s">
        <v>721</v>
      </c>
      <c r="D28" s="54" t="s">
        <v>640</v>
      </c>
      <c r="E28" s="57">
        <v>45607</v>
      </c>
      <c r="F28" s="60">
        <v>55</v>
      </c>
      <c r="G28" s="61" t="s">
        <v>594</v>
      </c>
      <c r="H28" s="59">
        <v>2</v>
      </c>
      <c r="I28" s="61" t="s">
        <v>98</v>
      </c>
      <c r="J28" s="56">
        <v>161340</v>
      </c>
      <c r="K28" s="61" t="s">
        <v>98</v>
      </c>
      <c r="L28" s="61">
        <v>6</v>
      </c>
      <c r="M28" s="61" t="s">
        <v>627</v>
      </c>
    </row>
    <row r="29" spans="2:13">
      <c r="B29" s="62">
        <v>25</v>
      </c>
      <c r="C29" s="54" t="s">
        <v>731</v>
      </c>
      <c r="D29" s="54" t="s">
        <v>641</v>
      </c>
      <c r="E29" s="57">
        <v>45539</v>
      </c>
      <c r="F29" s="60">
        <v>123</v>
      </c>
      <c r="G29" s="61" t="s">
        <v>60</v>
      </c>
      <c r="H29" s="59">
        <v>5</v>
      </c>
      <c r="I29" s="61" t="s">
        <v>98</v>
      </c>
      <c r="J29" s="56">
        <v>106500</v>
      </c>
      <c r="K29" s="61" t="s">
        <v>98</v>
      </c>
      <c r="L29" s="61">
        <v>4</v>
      </c>
      <c r="M29" s="61" t="s">
        <v>600</v>
      </c>
    </row>
    <row r="30" spans="2:13">
      <c r="B30" s="55">
        <v>26</v>
      </c>
      <c r="C30" s="54" t="s">
        <v>723</v>
      </c>
      <c r="D30" s="54" t="s">
        <v>642</v>
      </c>
      <c r="E30" s="57">
        <v>45629</v>
      </c>
      <c r="F30" s="60">
        <v>33</v>
      </c>
      <c r="G30" s="61" t="s">
        <v>594</v>
      </c>
      <c r="H30" s="59">
        <v>23</v>
      </c>
      <c r="I30" s="61" t="s">
        <v>98</v>
      </c>
      <c r="J30" s="56">
        <v>858220</v>
      </c>
      <c r="K30" s="61" t="s">
        <v>98</v>
      </c>
      <c r="L30" s="61">
        <v>6</v>
      </c>
      <c r="M30" s="61" t="s">
        <v>627</v>
      </c>
    </row>
    <row r="31" spans="2:13">
      <c r="B31" s="76">
        <v>27</v>
      </c>
      <c r="C31" s="75" t="s">
        <v>695</v>
      </c>
      <c r="D31" s="75" t="s">
        <v>643</v>
      </c>
      <c r="E31" s="57">
        <v>45650</v>
      </c>
      <c r="F31" s="60">
        <v>12</v>
      </c>
      <c r="G31" s="61" t="s">
        <v>593</v>
      </c>
      <c r="H31" s="59">
        <v>455</v>
      </c>
      <c r="I31" s="61" t="s">
        <v>593</v>
      </c>
      <c r="J31" s="56">
        <v>6803335</v>
      </c>
      <c r="K31" s="61" t="s">
        <v>594</v>
      </c>
      <c r="L31" s="61">
        <v>14</v>
      </c>
      <c r="M31" s="61" t="s">
        <v>595</v>
      </c>
    </row>
    <row r="32" spans="2:13">
      <c r="B32" s="55">
        <v>28</v>
      </c>
      <c r="C32" s="54" t="s">
        <v>700</v>
      </c>
      <c r="D32" s="54" t="s">
        <v>644</v>
      </c>
      <c r="E32" s="57">
        <v>45407</v>
      </c>
      <c r="F32" s="60">
        <v>255</v>
      </c>
      <c r="G32" s="61" t="s">
        <v>98</v>
      </c>
      <c r="H32" s="59">
        <v>1</v>
      </c>
      <c r="I32" s="61" t="s">
        <v>98</v>
      </c>
      <c r="J32" s="56">
        <v>85000</v>
      </c>
      <c r="K32" s="61" t="s">
        <v>98</v>
      </c>
      <c r="L32" s="61">
        <v>3</v>
      </c>
      <c r="M32" s="61" t="s">
        <v>600</v>
      </c>
    </row>
    <row r="33" spans="2:13">
      <c r="B33" s="62">
        <v>29</v>
      </c>
      <c r="C33" s="54" t="s">
        <v>705</v>
      </c>
      <c r="D33" s="54" t="s">
        <v>645</v>
      </c>
      <c r="E33" s="57">
        <v>45653</v>
      </c>
      <c r="F33" s="60">
        <v>9</v>
      </c>
      <c r="G33" s="61" t="s">
        <v>593</v>
      </c>
      <c r="H33" s="59">
        <v>330</v>
      </c>
      <c r="I33" s="61" t="s">
        <v>593</v>
      </c>
      <c r="J33" s="56">
        <v>2976600</v>
      </c>
      <c r="K33" s="61" t="s">
        <v>60</v>
      </c>
      <c r="L33" s="61">
        <v>12</v>
      </c>
      <c r="M33" s="61" t="s">
        <v>605</v>
      </c>
    </row>
    <row r="34" spans="2:13">
      <c r="B34" s="55">
        <v>30</v>
      </c>
      <c r="C34" s="54" t="s">
        <v>707</v>
      </c>
      <c r="D34" s="54" t="s">
        <v>646</v>
      </c>
      <c r="E34" s="57">
        <v>45639</v>
      </c>
      <c r="F34" s="60">
        <v>23</v>
      </c>
      <c r="G34" s="61" t="s">
        <v>593</v>
      </c>
      <c r="H34" s="59">
        <v>5</v>
      </c>
      <c r="I34" s="61" t="s">
        <v>98</v>
      </c>
      <c r="J34" s="56">
        <v>36545</v>
      </c>
      <c r="K34" s="61" t="s">
        <v>98</v>
      </c>
      <c r="L34" s="61">
        <v>7</v>
      </c>
      <c r="M34" s="61" t="s">
        <v>605</v>
      </c>
    </row>
    <row r="35" spans="2:13">
      <c r="B35" s="76">
        <v>31</v>
      </c>
      <c r="C35" s="75" t="s">
        <v>709</v>
      </c>
      <c r="D35" s="75" t="s">
        <v>647</v>
      </c>
      <c r="E35" s="57">
        <v>45653</v>
      </c>
      <c r="F35" s="60">
        <v>9</v>
      </c>
      <c r="G35" s="61" t="s">
        <v>593</v>
      </c>
      <c r="H35" s="59">
        <v>841</v>
      </c>
      <c r="I35" s="61" t="s">
        <v>593</v>
      </c>
      <c r="J35" s="56">
        <v>5122693</v>
      </c>
      <c r="K35" s="61" t="s">
        <v>594</v>
      </c>
      <c r="L35" s="61">
        <v>14</v>
      </c>
      <c r="M35" s="61" t="s">
        <v>595</v>
      </c>
    </row>
    <row r="36" spans="2:13">
      <c r="B36" s="55">
        <v>32</v>
      </c>
      <c r="C36" s="54" t="s">
        <v>713</v>
      </c>
      <c r="D36" s="54" t="s">
        <v>647</v>
      </c>
      <c r="E36" s="57">
        <v>45649</v>
      </c>
      <c r="F36" s="60">
        <v>13</v>
      </c>
      <c r="G36" s="61" t="s">
        <v>593</v>
      </c>
      <c r="H36" s="59">
        <v>12</v>
      </c>
      <c r="I36" s="61" t="s">
        <v>98</v>
      </c>
      <c r="J36" s="56">
        <v>457600</v>
      </c>
      <c r="K36" s="61" t="s">
        <v>98</v>
      </c>
      <c r="L36" s="61">
        <v>7</v>
      </c>
      <c r="M36" s="61" t="s">
        <v>605</v>
      </c>
    </row>
    <row r="37" spans="2:13">
      <c r="B37" s="62">
        <v>33</v>
      </c>
      <c r="C37" s="54" t="s">
        <v>715</v>
      </c>
      <c r="D37" s="54" t="s">
        <v>648</v>
      </c>
      <c r="E37" s="57">
        <v>45650</v>
      </c>
      <c r="F37" s="60">
        <v>12</v>
      </c>
      <c r="G37" s="61" t="s">
        <v>593</v>
      </c>
      <c r="H37" s="59">
        <v>51</v>
      </c>
      <c r="I37" s="61" t="s">
        <v>620</v>
      </c>
      <c r="J37" s="56">
        <v>3328460</v>
      </c>
      <c r="K37" s="61" t="s">
        <v>620</v>
      </c>
      <c r="L37" s="61">
        <v>11</v>
      </c>
      <c r="M37" s="61" t="s">
        <v>605</v>
      </c>
    </row>
    <row r="38" spans="2:13">
      <c r="B38" s="55">
        <v>34</v>
      </c>
      <c r="C38" s="54" t="s">
        <v>717</v>
      </c>
      <c r="D38" s="54" t="s">
        <v>649</v>
      </c>
      <c r="E38" s="57">
        <v>45637</v>
      </c>
      <c r="F38" s="60">
        <v>25</v>
      </c>
      <c r="G38" s="61" t="s">
        <v>593</v>
      </c>
      <c r="H38" s="59">
        <v>29</v>
      </c>
      <c r="I38" s="61" t="s">
        <v>98</v>
      </c>
      <c r="J38" s="56">
        <v>963800</v>
      </c>
      <c r="K38" s="61" t="s">
        <v>98</v>
      </c>
      <c r="L38" s="61">
        <v>7</v>
      </c>
      <c r="M38" s="61" t="s">
        <v>605</v>
      </c>
    </row>
    <row r="39" spans="2:13">
      <c r="B39" s="62">
        <v>35</v>
      </c>
      <c r="C39" s="54" t="s">
        <v>650</v>
      </c>
      <c r="D39" s="54" t="s">
        <v>640</v>
      </c>
      <c r="E39" s="57">
        <v>45273</v>
      </c>
      <c r="F39" s="60">
        <v>389</v>
      </c>
      <c r="G39" s="61" t="s">
        <v>98</v>
      </c>
      <c r="H39" s="59">
        <v>0</v>
      </c>
      <c r="I39" s="61" t="s">
        <v>98</v>
      </c>
      <c r="J39" s="56">
        <v>0</v>
      </c>
      <c r="K39" s="61" t="s">
        <v>98</v>
      </c>
      <c r="L39" s="61">
        <v>3</v>
      </c>
      <c r="M39" s="61" t="s">
        <v>600</v>
      </c>
    </row>
    <row r="40" spans="2:13">
      <c r="B40" s="55">
        <v>36</v>
      </c>
      <c r="C40" s="54" t="s">
        <v>719</v>
      </c>
      <c r="D40" s="54" t="s">
        <v>651</v>
      </c>
      <c r="E40" s="57">
        <v>45595</v>
      </c>
      <c r="F40" s="60">
        <v>67</v>
      </c>
      <c r="G40" s="61" t="s">
        <v>620</v>
      </c>
      <c r="H40" s="59">
        <v>8</v>
      </c>
      <c r="I40" s="61" t="s">
        <v>98</v>
      </c>
      <c r="J40" s="56">
        <v>2327800</v>
      </c>
      <c r="K40" s="61" t="s">
        <v>60</v>
      </c>
      <c r="L40" s="61">
        <v>6</v>
      </c>
      <c r="M40" s="61" t="s">
        <v>627</v>
      </c>
    </row>
    <row r="41" spans="2:13">
      <c r="B41" s="62">
        <v>37</v>
      </c>
      <c r="C41" s="54" t="s">
        <v>652</v>
      </c>
      <c r="D41" s="54" t="s">
        <v>653</v>
      </c>
      <c r="E41" s="57">
        <v>45569</v>
      </c>
      <c r="F41" s="60">
        <v>93</v>
      </c>
      <c r="G41" s="61" t="s">
        <v>60</v>
      </c>
      <c r="H41" s="59">
        <v>21</v>
      </c>
      <c r="I41" s="61" t="s">
        <v>98</v>
      </c>
      <c r="J41" s="56">
        <v>1153320</v>
      </c>
      <c r="K41" s="61" t="s">
        <v>60</v>
      </c>
      <c r="L41" s="61">
        <v>5</v>
      </c>
      <c r="M41" s="61" t="s">
        <v>627</v>
      </c>
    </row>
    <row r="42" spans="2:13">
      <c r="B42" s="55">
        <v>38</v>
      </c>
      <c r="C42" s="54" t="s">
        <v>725</v>
      </c>
      <c r="D42" s="54" t="s">
        <v>654</v>
      </c>
      <c r="E42" s="57">
        <v>45625</v>
      </c>
      <c r="F42" s="60">
        <v>37</v>
      </c>
      <c r="G42" s="61" t="s">
        <v>594</v>
      </c>
      <c r="H42" s="59">
        <v>21</v>
      </c>
      <c r="I42" s="61" t="s">
        <v>98</v>
      </c>
      <c r="J42" s="56">
        <v>1153320</v>
      </c>
      <c r="K42" s="61" t="s">
        <v>60</v>
      </c>
      <c r="L42" s="61">
        <v>7</v>
      </c>
      <c r="M42" s="61" t="s">
        <v>605</v>
      </c>
    </row>
    <row r="43" spans="2:13">
      <c r="B43" s="62">
        <v>39</v>
      </c>
      <c r="C43" s="54" t="s">
        <v>727</v>
      </c>
      <c r="D43" s="54" t="s">
        <v>655</v>
      </c>
      <c r="E43" s="57">
        <v>45638</v>
      </c>
      <c r="F43" s="60">
        <v>24</v>
      </c>
      <c r="G43" s="61" t="s">
        <v>593</v>
      </c>
      <c r="H43" s="59">
        <v>10</v>
      </c>
      <c r="I43" s="61" t="s">
        <v>98</v>
      </c>
      <c r="J43" s="56">
        <v>1081000</v>
      </c>
      <c r="K43" s="61" t="s">
        <v>60</v>
      </c>
      <c r="L43" s="61">
        <v>8</v>
      </c>
      <c r="M43" s="61" t="s">
        <v>605</v>
      </c>
    </row>
    <row r="44" spans="2:13">
      <c r="B44" s="55">
        <v>40</v>
      </c>
      <c r="C44" s="54" t="s">
        <v>729</v>
      </c>
      <c r="D44" s="54" t="s">
        <v>633</v>
      </c>
      <c r="E44" s="57">
        <v>45041</v>
      </c>
      <c r="F44" s="60">
        <v>621</v>
      </c>
      <c r="G44" s="61" t="s">
        <v>98</v>
      </c>
      <c r="H44" s="59">
        <v>0</v>
      </c>
      <c r="I44" s="61" t="s">
        <v>98</v>
      </c>
      <c r="J44" s="56">
        <v>0</v>
      </c>
      <c r="K44" s="61" t="s">
        <v>98</v>
      </c>
      <c r="L44" s="61">
        <v>3</v>
      </c>
      <c r="M44" s="61" t="s">
        <v>600</v>
      </c>
    </row>
    <row r="45" spans="2:13">
      <c r="B45" s="62">
        <v>41</v>
      </c>
      <c r="C45" s="54" t="s">
        <v>733</v>
      </c>
      <c r="D45" s="54" t="s">
        <v>656</v>
      </c>
      <c r="E45" s="57">
        <v>45639</v>
      </c>
      <c r="F45" s="60">
        <v>23</v>
      </c>
      <c r="G45" s="61" t="s">
        <v>593</v>
      </c>
      <c r="H45" s="59">
        <v>16</v>
      </c>
      <c r="I45" s="61" t="s">
        <v>98</v>
      </c>
      <c r="J45" s="56">
        <v>613300</v>
      </c>
      <c r="K45" s="61" t="s">
        <v>98</v>
      </c>
      <c r="L45" s="61">
        <v>7</v>
      </c>
      <c r="M45" s="61" t="s">
        <v>605</v>
      </c>
    </row>
    <row r="46" spans="2:13">
      <c r="B46" s="55">
        <v>42</v>
      </c>
      <c r="C46" s="54" t="s">
        <v>735</v>
      </c>
      <c r="D46" s="54" t="s">
        <v>395</v>
      </c>
      <c r="E46" s="57">
        <v>45639</v>
      </c>
      <c r="F46" s="60">
        <v>23</v>
      </c>
      <c r="G46" s="61" t="s">
        <v>593</v>
      </c>
      <c r="H46" s="59">
        <v>14</v>
      </c>
      <c r="I46" s="61" t="s">
        <v>98</v>
      </c>
      <c r="J46" s="56">
        <v>447720</v>
      </c>
      <c r="K46" s="61" t="s">
        <v>98</v>
      </c>
      <c r="L46" s="61">
        <v>7</v>
      </c>
      <c r="M46" s="61" t="s">
        <v>605</v>
      </c>
    </row>
    <row r="47" spans="2:13">
      <c r="B47" s="62">
        <v>43</v>
      </c>
      <c r="C47" s="54" t="s">
        <v>737</v>
      </c>
      <c r="D47" s="54" t="s">
        <v>633</v>
      </c>
      <c r="E47" s="57">
        <v>45055</v>
      </c>
      <c r="F47" s="60">
        <v>607</v>
      </c>
      <c r="G47" s="61" t="s">
        <v>98</v>
      </c>
      <c r="H47" s="59">
        <v>0</v>
      </c>
      <c r="I47" s="61" t="s">
        <v>98</v>
      </c>
      <c r="J47" s="56">
        <v>0</v>
      </c>
      <c r="K47" s="61" t="s">
        <v>98</v>
      </c>
      <c r="L47" s="61">
        <v>3</v>
      </c>
      <c r="M47" s="61" t="s">
        <v>600</v>
      </c>
    </row>
    <row r="48" spans="2:13">
      <c r="B48" s="55">
        <v>44</v>
      </c>
      <c r="C48" s="54" t="s">
        <v>739</v>
      </c>
      <c r="D48" s="54" t="s">
        <v>657</v>
      </c>
      <c r="E48" s="57">
        <v>45572</v>
      </c>
      <c r="F48" s="60">
        <v>90</v>
      </c>
      <c r="G48" s="61" t="s">
        <v>60</v>
      </c>
      <c r="H48" s="59">
        <v>3</v>
      </c>
      <c r="I48" s="61" t="s">
        <v>98</v>
      </c>
      <c r="J48" s="56">
        <v>69000</v>
      </c>
      <c r="K48" s="61" t="s">
        <v>98</v>
      </c>
      <c r="L48" s="61">
        <v>4</v>
      </c>
      <c r="M48" s="61" t="s">
        <v>600</v>
      </c>
    </row>
    <row r="49" spans="2:13">
      <c r="B49" s="62">
        <v>45</v>
      </c>
      <c r="C49" s="54" t="s">
        <v>740</v>
      </c>
      <c r="D49" s="54" t="s">
        <v>658</v>
      </c>
      <c r="E49" s="57">
        <v>45617</v>
      </c>
      <c r="F49" s="60">
        <v>45</v>
      </c>
      <c r="G49" s="61" t="s">
        <v>594</v>
      </c>
      <c r="H49" s="59">
        <v>2</v>
      </c>
      <c r="I49" s="61" t="s">
        <v>98</v>
      </c>
      <c r="J49" s="56">
        <v>58000</v>
      </c>
      <c r="K49" s="61" t="s">
        <v>98</v>
      </c>
      <c r="L49" s="61">
        <v>6</v>
      </c>
      <c r="M49" s="61" t="s">
        <v>627</v>
      </c>
    </row>
    <row r="50" spans="2:13">
      <c r="B50" s="55">
        <v>46</v>
      </c>
      <c r="C50" s="54" t="s">
        <v>742</v>
      </c>
      <c r="D50" s="54" t="s">
        <v>659</v>
      </c>
      <c r="E50" s="57">
        <v>44063</v>
      </c>
      <c r="F50" s="60">
        <v>1599</v>
      </c>
      <c r="G50" s="61" t="s">
        <v>98</v>
      </c>
      <c r="H50" s="59">
        <v>0</v>
      </c>
      <c r="I50" s="61" t="s">
        <v>98</v>
      </c>
      <c r="J50" s="56">
        <v>0</v>
      </c>
      <c r="K50" s="61" t="s">
        <v>98</v>
      </c>
      <c r="L50" s="61">
        <v>3</v>
      </c>
      <c r="M50" s="61" t="s">
        <v>600</v>
      </c>
    </row>
    <row r="51" spans="2:13">
      <c r="B51" s="62">
        <v>47</v>
      </c>
      <c r="C51" s="54" t="s">
        <v>744</v>
      </c>
      <c r="D51" s="54" t="s">
        <v>660</v>
      </c>
      <c r="E51" s="57">
        <v>44998</v>
      </c>
      <c r="F51" s="60">
        <v>664</v>
      </c>
      <c r="G51" s="61" t="s">
        <v>98</v>
      </c>
      <c r="H51" s="59">
        <v>0</v>
      </c>
      <c r="I51" s="61" t="s">
        <v>98</v>
      </c>
      <c r="J51" s="56">
        <v>0</v>
      </c>
      <c r="K51" s="61" t="s">
        <v>98</v>
      </c>
      <c r="L51" s="61">
        <v>3</v>
      </c>
      <c r="M51" s="61" t="s">
        <v>600</v>
      </c>
    </row>
    <row r="52" spans="2:13">
      <c r="B52" s="55">
        <v>48</v>
      </c>
      <c r="C52" s="54" t="s">
        <v>745</v>
      </c>
      <c r="D52" s="58" t="s">
        <v>661</v>
      </c>
      <c r="E52" s="57">
        <v>45608</v>
      </c>
      <c r="F52" s="60">
        <v>54</v>
      </c>
      <c r="G52" s="61" t="s">
        <v>594</v>
      </c>
      <c r="H52" s="59">
        <v>8</v>
      </c>
      <c r="I52" s="61" t="s">
        <v>98</v>
      </c>
      <c r="J52" s="56">
        <v>628300</v>
      </c>
      <c r="K52" s="61" t="s">
        <v>98</v>
      </c>
      <c r="L52" s="61">
        <v>6</v>
      </c>
      <c r="M52" s="61" t="s">
        <v>627</v>
      </c>
    </row>
    <row r="53" spans="2:13">
      <c r="B53" s="62">
        <v>49</v>
      </c>
      <c r="C53" s="54" t="s">
        <v>662</v>
      </c>
      <c r="D53" s="58" t="s">
        <v>663</v>
      </c>
      <c r="E53" s="57">
        <v>45649</v>
      </c>
      <c r="F53" s="60">
        <v>13</v>
      </c>
      <c r="G53" s="61" t="s">
        <v>593</v>
      </c>
      <c r="H53" s="59">
        <v>5</v>
      </c>
      <c r="I53" s="61" t="s">
        <v>98</v>
      </c>
      <c r="J53" s="56">
        <v>52800</v>
      </c>
      <c r="K53" s="61" t="s">
        <v>98</v>
      </c>
      <c r="L53" s="61">
        <v>7</v>
      </c>
      <c r="M53" s="61" t="s">
        <v>605</v>
      </c>
    </row>
    <row r="54" spans="2:13">
      <c r="B54" s="55">
        <v>50</v>
      </c>
      <c r="C54" s="54" t="s">
        <v>748</v>
      </c>
      <c r="D54" s="58" t="s">
        <v>661</v>
      </c>
      <c r="E54" s="57">
        <v>45070</v>
      </c>
      <c r="F54" s="60">
        <v>592</v>
      </c>
      <c r="G54" s="61" t="s">
        <v>98</v>
      </c>
      <c r="H54" s="59">
        <v>0</v>
      </c>
      <c r="I54" s="61" t="s">
        <v>98</v>
      </c>
      <c r="J54" s="56">
        <v>0</v>
      </c>
      <c r="K54" s="61" t="s">
        <v>98</v>
      </c>
      <c r="L54" s="61">
        <v>3</v>
      </c>
      <c r="M54" s="61" t="s">
        <v>600</v>
      </c>
    </row>
    <row r="55" spans="2:13">
      <c r="B55" s="62">
        <v>51</v>
      </c>
      <c r="C55" s="54" t="s">
        <v>751</v>
      </c>
      <c r="D55" s="58" t="s">
        <v>664</v>
      </c>
      <c r="E55" s="57">
        <v>45650</v>
      </c>
      <c r="F55" s="60">
        <v>12</v>
      </c>
      <c r="G55" s="61" t="s">
        <v>593</v>
      </c>
      <c r="H55" s="59">
        <v>208</v>
      </c>
      <c r="I55" s="61" t="s">
        <v>593</v>
      </c>
      <c r="J55" s="56">
        <v>15972745</v>
      </c>
      <c r="K55" s="61" t="s">
        <v>593</v>
      </c>
      <c r="L55" s="61">
        <v>15</v>
      </c>
      <c r="M55" s="61" t="s">
        <v>617</v>
      </c>
    </row>
    <row r="56" spans="2:13">
      <c r="B56" s="55">
        <v>52</v>
      </c>
      <c r="C56" s="54" t="s">
        <v>752</v>
      </c>
      <c r="D56" s="58" t="s">
        <v>665</v>
      </c>
      <c r="E56" s="57">
        <v>45636</v>
      </c>
      <c r="F56" s="60">
        <v>26</v>
      </c>
      <c r="G56" s="61" t="s">
        <v>593</v>
      </c>
      <c r="H56" s="59">
        <v>65</v>
      </c>
      <c r="I56" s="61" t="s">
        <v>620</v>
      </c>
      <c r="J56" s="56">
        <v>1013964</v>
      </c>
      <c r="K56" s="61" t="s">
        <v>60</v>
      </c>
      <c r="L56" s="61">
        <v>10</v>
      </c>
      <c r="M56" s="61" t="s">
        <v>605</v>
      </c>
    </row>
    <row r="57" spans="2:13">
      <c r="B57" s="62">
        <v>53</v>
      </c>
      <c r="C57" s="54" t="s">
        <v>754</v>
      </c>
      <c r="D57" s="58" t="s">
        <v>666</v>
      </c>
      <c r="E57" s="57">
        <v>45649</v>
      </c>
      <c r="F57" s="60">
        <v>13</v>
      </c>
      <c r="G57" s="61" t="s">
        <v>593</v>
      </c>
      <c r="H57" s="59">
        <v>125</v>
      </c>
      <c r="I57" s="61" t="s">
        <v>593</v>
      </c>
      <c r="J57" s="56">
        <v>2043105</v>
      </c>
      <c r="K57" s="61" t="s">
        <v>60</v>
      </c>
      <c r="L57" s="61">
        <v>12</v>
      </c>
      <c r="M57" s="61" t="s">
        <v>605</v>
      </c>
    </row>
    <row r="58" spans="2:13">
      <c r="B58" s="55">
        <v>54</v>
      </c>
      <c r="C58" s="54" t="s">
        <v>472</v>
      </c>
      <c r="D58" s="58" t="s">
        <v>667</v>
      </c>
      <c r="E58" s="57">
        <v>45636</v>
      </c>
      <c r="F58" s="60">
        <v>26</v>
      </c>
      <c r="G58" s="61" t="s">
        <v>593</v>
      </c>
      <c r="H58" s="59">
        <v>18</v>
      </c>
      <c r="I58" s="61" t="s">
        <v>98</v>
      </c>
      <c r="J58" s="56">
        <v>3480700</v>
      </c>
      <c r="K58" s="61" t="s">
        <v>620</v>
      </c>
      <c r="L58" s="61">
        <v>9</v>
      </c>
      <c r="M58" s="61" t="s">
        <v>605</v>
      </c>
    </row>
    <row r="59" spans="2:13">
      <c r="B59" s="62">
        <v>55</v>
      </c>
      <c r="C59" s="54" t="s">
        <v>559</v>
      </c>
      <c r="D59" s="58" t="s">
        <v>668</v>
      </c>
      <c r="E59" s="57">
        <v>45562</v>
      </c>
      <c r="F59" s="60">
        <v>100</v>
      </c>
      <c r="G59" s="61" t="s">
        <v>60</v>
      </c>
      <c r="H59" s="59">
        <v>11</v>
      </c>
      <c r="I59" s="61" t="s">
        <v>98</v>
      </c>
      <c r="J59" s="56">
        <v>4304000</v>
      </c>
      <c r="K59" s="61" t="s">
        <v>620</v>
      </c>
      <c r="L59" s="61">
        <v>6</v>
      </c>
      <c r="M59" s="61" t="s">
        <v>627</v>
      </c>
    </row>
    <row r="60" spans="2:13">
      <c r="B60" s="55">
        <v>56</v>
      </c>
      <c r="C60" s="54" t="s">
        <v>755</v>
      </c>
      <c r="D60" s="58" t="s">
        <v>669</v>
      </c>
      <c r="E60" s="57">
        <v>45622</v>
      </c>
      <c r="F60" s="60">
        <v>40</v>
      </c>
      <c r="G60" s="61" t="s">
        <v>594</v>
      </c>
      <c r="H60" s="59">
        <v>10</v>
      </c>
      <c r="I60" s="61" t="s">
        <v>98</v>
      </c>
      <c r="J60" s="56">
        <v>3555000</v>
      </c>
      <c r="K60" s="61" t="s">
        <v>620</v>
      </c>
      <c r="L60" s="61">
        <v>8</v>
      </c>
      <c r="M60" s="61" t="s">
        <v>605</v>
      </c>
    </row>
    <row r="61" spans="2:13">
      <c r="B61" s="62">
        <v>57</v>
      </c>
      <c r="C61" s="54" t="s">
        <v>689</v>
      </c>
      <c r="D61" s="58" t="s">
        <v>670</v>
      </c>
      <c r="E61" s="57">
        <v>45653</v>
      </c>
      <c r="F61" s="60">
        <v>9</v>
      </c>
      <c r="G61" s="61" t="s">
        <v>593</v>
      </c>
      <c r="H61" s="59">
        <v>2666</v>
      </c>
      <c r="I61" s="61" t="s">
        <v>593</v>
      </c>
      <c r="J61" s="56">
        <v>17969191</v>
      </c>
      <c r="K61" s="61" t="s">
        <v>593</v>
      </c>
      <c r="L61" s="61">
        <v>15</v>
      </c>
      <c r="M61" s="61" t="s">
        <v>617</v>
      </c>
    </row>
    <row r="62" spans="2:13">
      <c r="B62" s="55">
        <v>58</v>
      </c>
      <c r="C62" s="54" t="s">
        <v>704</v>
      </c>
      <c r="D62" s="58" t="s">
        <v>671</v>
      </c>
      <c r="E62" s="57">
        <v>45650</v>
      </c>
      <c r="F62" s="60">
        <v>12</v>
      </c>
      <c r="G62" s="61" t="s">
        <v>593</v>
      </c>
      <c r="H62" s="59">
        <v>141</v>
      </c>
      <c r="I62" s="61" t="s">
        <v>593</v>
      </c>
      <c r="J62" s="56">
        <v>1936830</v>
      </c>
      <c r="K62" s="61" t="s">
        <v>60</v>
      </c>
      <c r="L62" s="61">
        <v>12</v>
      </c>
      <c r="M62" s="61" t="s">
        <v>605</v>
      </c>
    </row>
    <row r="63" spans="2:13">
      <c r="B63" s="76">
        <v>59</v>
      </c>
      <c r="C63" s="75" t="s">
        <v>490</v>
      </c>
      <c r="D63" s="78" t="s">
        <v>672</v>
      </c>
      <c r="E63" s="57">
        <v>45638</v>
      </c>
      <c r="F63" s="60">
        <v>24</v>
      </c>
      <c r="G63" s="61" t="s">
        <v>593</v>
      </c>
      <c r="H63" s="59">
        <v>75</v>
      </c>
      <c r="I63" s="61" t="s">
        <v>594</v>
      </c>
      <c r="J63" s="56">
        <v>5008320</v>
      </c>
      <c r="K63" s="61" t="s">
        <v>594</v>
      </c>
      <c r="L63" s="61">
        <v>13</v>
      </c>
      <c r="M63" s="61" t="s">
        <v>595</v>
      </c>
    </row>
    <row r="64" spans="2:13">
      <c r="B64" s="55">
        <v>60</v>
      </c>
      <c r="C64" s="54" t="s">
        <v>756</v>
      </c>
      <c r="D64" s="58" t="s">
        <v>673</v>
      </c>
      <c r="E64" s="57">
        <v>45621</v>
      </c>
      <c r="F64" s="60">
        <v>41</v>
      </c>
      <c r="G64" s="61" t="s">
        <v>594</v>
      </c>
      <c r="H64" s="59">
        <v>3</v>
      </c>
      <c r="I64" s="61" t="s">
        <v>98</v>
      </c>
      <c r="J64" s="56">
        <v>539263</v>
      </c>
      <c r="K64" s="61" t="s">
        <v>98</v>
      </c>
      <c r="L64" s="61">
        <v>6</v>
      </c>
      <c r="M64" s="61" t="s">
        <v>627</v>
      </c>
    </row>
  </sheetData>
  <mergeCells count="3">
    <mergeCell ref="O4:P4"/>
    <mergeCell ref="Q4:R4"/>
    <mergeCell ref="S4:U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mgc16</cp:lastModifiedBy>
  <dcterms:created xsi:type="dcterms:W3CDTF">2024-04-18T10:28:24Z</dcterms:created>
  <dcterms:modified xsi:type="dcterms:W3CDTF">2025-09-30T05:58:32Z</dcterms:modified>
</cp:coreProperties>
</file>